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204_수량산출서 기본방향\03_재료할증율\20260901_08\"/>
    </mc:Choice>
  </mc:AlternateContent>
  <xr:revisionPtr revIDLastSave="0" documentId="13_ncr:1_{0C29B6B9-5A61-40EF-A479-58EC8B4944F4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DB" sheetId="1" r:id="rId1"/>
    <sheet name="출처" sheetId="2" r:id="rId2"/>
    <sheet name="원문파일" sheetId="3" r:id="rId3"/>
    <sheet name="현황" sheetId="4" r:id="rId4"/>
    <sheet name="안내" sheetId="5" r:id="rId5"/>
  </sheets>
  <definedNames>
    <definedName name="_xlnm._FilterDatabase" localSheetId="0" hidden="1">DB!$A$1:$V$263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4" l="1"/>
  <c r="B26" i="4"/>
  <c r="B25" i="4"/>
  <c r="B23" i="4"/>
  <c r="B21" i="4"/>
  <c r="B20" i="4"/>
  <c r="B19" i="4"/>
  <c r="B18" i="4"/>
  <c r="B17" i="4"/>
  <c r="B16" i="4"/>
  <c r="B15" i="4"/>
  <c r="B14" i="4"/>
  <c r="B13" i="4"/>
  <c r="C9" i="4"/>
  <c r="B9" i="4"/>
  <c r="C8" i="4"/>
  <c r="B8" i="4"/>
  <c r="C7" i="4"/>
  <c r="B7" i="4"/>
  <c r="C6" i="4"/>
  <c r="B6" i="4"/>
  <c r="C5" i="4"/>
  <c r="B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charset val="1"/>
          </rPr>
          <t>ID는 절대 바꾸지 않습니다. 링크·즐겨찾기·연도 이력이 이 값으로 묶입니다.
CV=건설(토목·건축), 이후 EL=전기 / IC=정보통신 / ET=기타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charset val="1"/>
          </rPr>
          <t>해당 재료를 쓰는 공종. 여러 공종이면 쉼표로 구분(예: 토목, 건축).</t>
        </r>
      </text>
    </comment>
    <comment ref="J1" authorId="0" shapeId="0" xr:uid="{00000000-0006-0000-0000-000003000000}">
      <text>
        <r>
          <rPr>
            <sz val="11"/>
            <color theme="1"/>
            <rFont val="Calibri"/>
            <family val="2"/>
            <charset val="1"/>
          </rPr>
          <t>출처 시트의 출처코드를 그대로 입력. 사이트가 이 코드로 기관·개정주기·원문위치를 붙입니다.</t>
        </r>
      </text>
    </comment>
    <comment ref="L1" authorId="0" shapeId="0" xr:uid="{00000000-0006-0000-0000-000004000000}">
      <text>
        <r>
          <rPr>
            <sz val="11"/>
            <color theme="1"/>
            <rFont val="Calibri"/>
            <family val="2"/>
            <charset val="1"/>
          </rPr>
          <t>PDF의 물리 페이지 번호(표지 포함). 사이트의 원문 보기가 이 페이지로 바로 엽니다.
find_page.py가 자동으로 채워 줍니다. 비워 두면 1쪽부터 열립니다.</t>
        </r>
      </text>
    </comment>
    <comment ref="M1" authorId="0" shapeId="0" xr:uid="{00000000-0006-0000-0000-000005000000}">
      <text>
        <r>
          <rPr>
            <sz val="11"/>
            <color theme="1"/>
            <rFont val="Calibri"/>
            <family val="2"/>
            <charset val="1"/>
          </rPr>
          <t>이 값이 적용되기 시작한 연도. 사이트의 연도 선택이 이 값을 씁니다.</t>
        </r>
      </text>
    </comment>
    <comment ref="N1" authorId="0" shapeId="0" xr:uid="{00000000-0006-0000-0000-000006000000}">
      <text>
        <r>
          <rPr>
            <sz val="11"/>
            <color theme="1"/>
            <rFont val="Calibri"/>
            <family val="2"/>
            <charset val="1"/>
          </rPr>
          <t>공란이면 현재 유효. 기준값이 바뀌면 여기에 종료연도를 넣고 새 행을 추가합니다(ID 동일).</t>
        </r>
      </text>
    </comment>
    <comment ref="Q1" authorId="0" shapeId="0" xr:uid="{00000000-0006-0000-0000-000007000000}">
      <text>
        <r>
          <rPr>
            <sz val="11"/>
            <color theme="1"/>
            <rFont val="Calibri"/>
            <family val="2"/>
            <charset val="1"/>
          </rPr>
          <t>검색용 별칭만. 비고를 섞지 마세요. 쉼표 구분.</t>
        </r>
      </text>
    </comment>
    <comment ref="T1" authorId="0" shapeId="0" xr:uid="{00000000-0006-0000-0000-000008000000}">
      <text>
        <r>
          <rPr>
            <sz val="11"/>
            <color theme="1"/>
            <rFont val="Calibri"/>
            <family val="2"/>
            <charset val="1"/>
          </rPr>
          <t>초안 행은 convert.py가 사이트에서 제외합니다.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공종을 넓힐 때는 이 시트에 행을 먼저 추가하고, DB 시트의 출처코드에서 그 코드를 고릅니다.</t>
        </r>
      </text>
    </comment>
    <comment ref="G1" authorId="0" shapeId="0" xr:uid="{00000000-0006-0000-0100-000002000000}">
      <text>
        <r>
          <rPr>
            <sz val="11"/>
            <color theme="1"/>
            <rFont val="Calibri"/>
            <family val="2"/>
            <charset val="1"/>
          </rPr>
          <t>원문이 공개된 게시판 주소. 카드의 “내려받기”가 이 주소를 새 탭으로 엽니다.</t>
        </r>
      </text>
    </comment>
    <comment ref="H1" authorId="0" shapeId="0" xr:uid="{00000000-0006-0000-0100-000003000000}">
      <text>
        <r>
          <rPr>
            <sz val="11"/>
            <color theme="1"/>
            <rFont val="Calibri"/>
            <family val="2"/>
            <charset val="1"/>
          </rPr>
          <t>판이 여러 개라 원문파일 시트로 옮겼습니다. 이 열은 비워 둡니다.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charset val="1"/>
          </rPr>
          <t>한 출처의 판이 여러 개일 때 여기에 판마다 한 행씩 넣습니다.
항목은 적용시작 연도 이하의 가장 최근 판과 연결됩니다.</t>
        </r>
      </text>
    </comment>
    <comment ref="D1" authorId="0" shapeId="0" xr:uid="{00000000-0006-0000-0200-000002000000}">
      <text>
        <r>
          <rPr>
            <sz val="11"/>
            <color theme="1"/>
            <rFont val="Calibri"/>
            <family val="2"/>
            <charset val="1"/>
          </rPr>
          <t>docs/ 폴더에 둔 실제 파일명과 정확히 같아야 합니다.</t>
        </r>
      </text>
    </comment>
  </commentList>
</comments>
</file>

<file path=xl/sharedStrings.xml><?xml version="1.0" encoding="utf-8"?>
<sst xmlns="http://schemas.openxmlformats.org/spreadsheetml/2006/main" count="4007" uniqueCount="968">
  <si>
    <t>ID</t>
  </si>
  <si>
    <t>공종</t>
  </si>
  <si>
    <t>분류</t>
  </si>
  <si>
    <t>품명</t>
  </si>
  <si>
    <t>규격</t>
  </si>
  <si>
    <t>단위</t>
  </si>
  <si>
    <t>할증_min</t>
  </si>
  <si>
    <t>할증_max</t>
  </si>
  <si>
    <t>출처코드</t>
  </si>
  <si>
    <t>조항위치</t>
  </si>
  <si>
    <t>원문페이지</t>
  </si>
  <si>
    <t>적용시작</t>
  </si>
  <si>
    <t>적용종료</t>
  </si>
  <si>
    <t>정식명칭</t>
  </si>
  <si>
    <t>비고</t>
  </si>
  <si>
    <t>태그</t>
  </si>
  <si>
    <t>중요도</t>
  </si>
  <si>
    <t>올림적용</t>
  </si>
  <si>
    <t>상태</t>
  </si>
  <si>
    <t>수정일</t>
  </si>
  <si>
    <t>검증메모</t>
  </si>
  <si>
    <t>CV-ETC-001</t>
  </si>
  <si>
    <t>토목, 건축</t>
  </si>
  <si>
    <t>기타재료</t>
  </si>
  <si>
    <t>레미콘</t>
  </si>
  <si>
    <t>무근구조물</t>
  </si>
  <si>
    <t>㎥</t>
  </si>
  <si>
    <t>KCS-STD</t>
  </si>
  <si>
    <t>1-3-1 8. 기타재료</t>
  </si>
  <si>
    <t>레디믹스트 콘크리트:무근구조물</t>
  </si>
  <si>
    <t>콘크리트</t>
  </si>
  <si>
    <t>주요</t>
  </si>
  <si>
    <t>N</t>
  </si>
  <si>
    <t>검증완료</t>
  </si>
  <si>
    <t>2026-08-27</t>
  </si>
  <si>
    <t>2026년 원문 p76~79 대조 완료</t>
  </si>
  <si>
    <t>CV-ETC-002</t>
  </si>
  <si>
    <t>철근구조물</t>
  </si>
  <si>
    <t>레디믹스트 콘크리트:철근구조물(무근구조물)</t>
  </si>
  <si>
    <t>CV-ETC-003</t>
  </si>
  <si>
    <t>포장용</t>
  </si>
  <si>
    <t>콘크리트포장혼합물의포설</t>
  </si>
  <si>
    <t>CV-ETC-004</t>
  </si>
  <si>
    <t>아스팔트</t>
  </si>
  <si>
    <t>ton</t>
  </si>
  <si>
    <t>아스팔트 콘크리트 포설</t>
  </si>
  <si>
    <t>CV-CON-001</t>
  </si>
  <si>
    <t>콘크리트·포장</t>
  </si>
  <si>
    <t>시멘트</t>
  </si>
  <si>
    <t>정치식(배치플랜트)</t>
  </si>
  <si>
    <t>kg</t>
  </si>
  <si>
    <t>1-3-1 1. 콘크리트 및 포장용 재료</t>
  </si>
  <si>
    <t>2026년 원문 p76~79 대조 완료 / 원문 표기는 "정치식"/"기타" 2열. 규격의 "정치식(현장믹서)"는 원문상 "기타" 열</t>
  </si>
  <si>
    <t>CV-CON-002</t>
  </si>
  <si>
    <t>잔골재, 채움재</t>
  </si>
  <si>
    <t>기타</t>
  </si>
  <si>
    <t>CV-CON-003</t>
  </si>
  <si>
    <t>굵은골재</t>
  </si>
  <si>
    <t>CV-CON-004</t>
  </si>
  <si>
    <t>CV-CON-005</t>
  </si>
  <si>
    <t>석분</t>
  </si>
  <si>
    <t>CV-CON-006</t>
  </si>
  <si>
    <t>혼화재</t>
  </si>
  <si>
    <t>CV-CON-007</t>
  </si>
  <si>
    <t>정치식(현장믹서)</t>
  </si>
  <si>
    <t>CV-CON-008</t>
  </si>
  <si>
    <t>CV-CON-009</t>
  </si>
  <si>
    <t>CV-CON-010</t>
  </si>
  <si>
    <t>CV-CON-011</t>
  </si>
  <si>
    <t>CV-CON-012</t>
  </si>
  <si>
    <t>초안</t>
  </si>
  <si>
    <t>원문 "기타" 열이 "-"(해당 없음)인데 2%로 기입되어 있음 → 삭제 여부 확인 필요</t>
  </si>
  <si>
    <t>CV-SUB-001</t>
  </si>
  <si>
    <t>토목</t>
  </si>
  <si>
    <t>노상·노반</t>
  </si>
  <si>
    <t>모래</t>
  </si>
  <si>
    <t>선택층, 보조기층, 기층 등</t>
  </si>
  <si>
    <t>1-3-1 2. 노상 및 노반재료</t>
  </si>
  <si>
    <t>CV-SUB-002</t>
  </si>
  <si>
    <t>부순돌</t>
  </si>
  <si>
    <t>CV-SUB-003</t>
  </si>
  <si>
    <t>자갈</t>
  </si>
  <si>
    <t>CV-SUB-004</t>
  </si>
  <si>
    <t>막자갈</t>
  </si>
  <si>
    <t>CV-SUB-005</t>
  </si>
  <si>
    <t>점질토</t>
  </si>
  <si>
    <t>CV-PIP-001</t>
  </si>
  <si>
    <t>관·구조물기초</t>
  </si>
  <si>
    <t>관 및 구조물기초 부설재료</t>
  </si>
  <si>
    <t>1-3-1 3. 관 및 구조물기초 부설재료</t>
  </si>
  <si>
    <t>CV-SOL-001</t>
  </si>
  <si>
    <t>토사(해상)</t>
  </si>
  <si>
    <t>치환모래</t>
  </si>
  <si>
    <t>1-3-1 4. 토사(해상)</t>
  </si>
  <si>
    <t>표면건조포화상태의 모래에 대한 할증률</t>
  </si>
  <si>
    <t>CV-SOL-002</t>
  </si>
  <si>
    <t>깔모래</t>
  </si>
  <si>
    <t>CV-SOL-003</t>
  </si>
  <si>
    <t>사항용모래</t>
  </si>
  <si>
    <t>CV-SOL-004</t>
  </si>
  <si>
    <t>압입모래</t>
  </si>
  <si>
    <t>압입모래(壓入砂)</t>
  </si>
  <si>
    <t>2026년 원문 p76~79 대조 완료 / 품명 정정: 압밀모래 → 압입모래(壓入砂)</t>
  </si>
  <si>
    <t>CV-RIP-001</t>
  </si>
  <si>
    <t>사석(해상)</t>
  </si>
  <si>
    <t>기초사석</t>
  </si>
  <si>
    <t>보통지반(2m이상)</t>
  </si>
  <si>
    <t>1-3-1 5. 사석(해상)</t>
  </si>
  <si>
    <t>일반적으로 사용</t>
  </si>
  <si>
    <t>공사위치·자연조건·제체규모 등 현장조건에 맞게 적용 가능(원문 [주])</t>
  </si>
  <si>
    <t>CV-RIP-002</t>
  </si>
  <si>
    <t>피복석</t>
  </si>
  <si>
    <t>CV-RIP-003</t>
  </si>
  <si>
    <t>뒤채움사석</t>
  </si>
  <si>
    <t>CV-RIP-004</t>
  </si>
  <si>
    <t>보통지반(2m미만)</t>
  </si>
  <si>
    <t>특별한경우 협의하여 사용</t>
  </si>
  <si>
    <t>CV-RIP-005</t>
  </si>
  <si>
    <t>CV-RIP-006</t>
  </si>
  <si>
    <t>CV-RIP-007</t>
  </si>
  <si>
    <t>모래치환지반(2m이상)</t>
  </si>
  <si>
    <t>CV-RIP-008</t>
  </si>
  <si>
    <t>CV-RIP-009</t>
  </si>
  <si>
    <t>CV-RIP-010</t>
  </si>
  <si>
    <t>모래치환지반(2m미만)</t>
  </si>
  <si>
    <t>CV-RIP-011</t>
  </si>
  <si>
    <t>CV-RIP-012</t>
  </si>
  <si>
    <t>CV-RIP-013</t>
  </si>
  <si>
    <t>연약지반(2m이상)</t>
  </si>
  <si>
    <t>CV-RIP-014</t>
  </si>
  <si>
    <t>CV-RIP-015</t>
  </si>
  <si>
    <t>CV-RIP-016</t>
  </si>
  <si>
    <t>연약지반(2m미만)</t>
  </si>
  <si>
    <t>CV-RIP-017</t>
  </si>
  <si>
    <t>CV-RIP-018</t>
  </si>
  <si>
    <t>CV-FIL-001</t>
  </si>
  <si>
    <t>속채움(해상)</t>
  </si>
  <si>
    <t>1-3-1 6. 속채움(해상)</t>
  </si>
  <si>
    <t>케이슨 또는 블록등의 속채움시 콘크리트 속채움재는 제외</t>
  </si>
  <si>
    <t>CV-FIL-002</t>
  </si>
  <si>
    <t>사석</t>
  </si>
  <si>
    <t>CV-STL-001</t>
  </si>
  <si>
    <t>강재류</t>
  </si>
  <si>
    <t>원형철근</t>
  </si>
  <si>
    <t>일반적용</t>
  </si>
  <si>
    <t>1-3-1 7. 강재류</t>
  </si>
  <si>
    <t>할증율은 현장여건을 반영하여 조절하여 사용가능</t>
  </si>
  <si>
    <t>CV-STL-002</t>
  </si>
  <si>
    <t>이형철근</t>
  </si>
  <si>
    <t>CV-STL-003</t>
  </si>
  <si>
    <t>교량, 지하철 및 복잡한 구조물의 주철근</t>
  </si>
  <si>
    <t>CV-STL-004</t>
  </si>
  <si>
    <t>일반볼트</t>
  </si>
  <si>
    <t>ea</t>
  </si>
  <si>
    <t>CV-STL-005</t>
  </si>
  <si>
    <t>고장력볼트(H.T.B)</t>
  </si>
  <si>
    <t>CV-STL-006</t>
  </si>
  <si>
    <t>강판</t>
  </si>
  <si>
    <t>CV-STL-007</t>
  </si>
  <si>
    <t>강관</t>
  </si>
  <si>
    <t>옥외공사를 기준으로 옥내공사용의 할증률은 10%이내 적용</t>
  </si>
  <si>
    <t>옥외공사 기준. 옥내공사용은 10% 이내</t>
  </si>
  <si>
    <t>CV-STL-008</t>
  </si>
  <si>
    <t>대형형강</t>
  </si>
  <si>
    <t>CV-STL-009</t>
  </si>
  <si>
    <t>소형형강</t>
  </si>
  <si>
    <t>CV-STL-010</t>
  </si>
  <si>
    <t>봉강</t>
  </si>
  <si>
    <t>CV-STL-011</t>
  </si>
  <si>
    <t>평강대강</t>
  </si>
  <si>
    <t>CV-STL-012</t>
  </si>
  <si>
    <t>경량형강</t>
  </si>
  <si>
    <t>CV-STL-013</t>
  </si>
  <si>
    <t>각파이프</t>
  </si>
  <si>
    <t>CV-STL-014</t>
  </si>
  <si>
    <t>리벳(제품)</t>
  </si>
  <si>
    <t>CV-STL-015</t>
  </si>
  <si>
    <t>스테인리스강판</t>
  </si>
  <si>
    <t>CV-STL-016</t>
  </si>
  <si>
    <t>스테인리스강관</t>
  </si>
  <si>
    <t>CV-STL-017</t>
  </si>
  <si>
    <t>동판</t>
  </si>
  <si>
    <t>CV-STL-018</t>
  </si>
  <si>
    <t>동관</t>
  </si>
  <si>
    <t>CV-STL-019</t>
  </si>
  <si>
    <t>덕트용금속판</t>
  </si>
  <si>
    <t>CV-STL-020</t>
  </si>
  <si>
    <t>프레스접합식스테인리스강관</t>
  </si>
  <si>
    <t>CV-STL-021</t>
  </si>
  <si>
    <t>이음부속류</t>
  </si>
  <si>
    <t>CV-ETC-005</t>
  </si>
  <si>
    <t>목재</t>
  </si>
  <si>
    <t>각재</t>
  </si>
  <si>
    <t>CV-ETC-006</t>
  </si>
  <si>
    <t>판재</t>
  </si>
  <si>
    <t>CV-ETC-007</t>
  </si>
  <si>
    <t>합판</t>
  </si>
  <si>
    <t>일반용합판</t>
  </si>
  <si>
    <t>㎡</t>
  </si>
  <si>
    <t>CV-ETC-008</t>
  </si>
  <si>
    <t>수장용합판</t>
  </si>
  <si>
    <t>CV-ETC-009</t>
  </si>
  <si>
    <t>쉬즈관</t>
  </si>
  <si>
    <t>m</t>
  </si>
  <si>
    <t>CV-ETC-010</t>
  </si>
  <si>
    <t>PVC관</t>
  </si>
  <si>
    <t>CV-ETC-011</t>
  </si>
  <si>
    <t>PE관</t>
  </si>
  <si>
    <t>CV-ETC-012</t>
  </si>
  <si>
    <t>원심력철근콘크리트관</t>
  </si>
  <si>
    <t>본</t>
  </si>
  <si>
    <t>자재 수량은 올림적용</t>
  </si>
  <si>
    <t>흄관</t>
  </si>
  <si>
    <t>Y</t>
  </si>
  <si>
    <t>CV-ETC-013</t>
  </si>
  <si>
    <t>조립식구조물</t>
  </si>
  <si>
    <t>U형 플륨관 등</t>
  </si>
  <si>
    <t>플륨관</t>
  </si>
  <si>
    <t>CV-ETC-014</t>
  </si>
  <si>
    <t>도료</t>
  </si>
  <si>
    <t>페인트</t>
  </si>
  <si>
    <t>CV-ETC-015</t>
  </si>
  <si>
    <t>벽돌</t>
  </si>
  <si>
    <t>붉은벽돌</t>
  </si>
  <si>
    <t>㎡,ea</t>
  </si>
  <si>
    <t>2026년 원문 p78 대조 완료 / 규격 정정: 붉은별돌 → 붉은벽돌</t>
  </si>
  <si>
    <t>CV-ETC-016</t>
  </si>
  <si>
    <t>시멘트벽돌</t>
  </si>
  <si>
    <t>CV-ETC-017</t>
  </si>
  <si>
    <t>내화벽돌</t>
  </si>
  <si>
    <t>CV-ETC-018</t>
  </si>
  <si>
    <t>경계블록</t>
  </si>
  <si>
    <t>CV-ETC-019</t>
  </si>
  <si>
    <t>콘크리트 블록</t>
  </si>
  <si>
    <t>CV-ETC-020</t>
  </si>
  <si>
    <t>호안블록</t>
  </si>
  <si>
    <t>CV-ETC-021</t>
  </si>
  <si>
    <t>원석</t>
  </si>
  <si>
    <t>마름돌용</t>
  </si>
  <si>
    <t>CV-ETC-022</t>
  </si>
  <si>
    <t>석재판붙임용재</t>
  </si>
  <si>
    <t>정형돌</t>
  </si>
  <si>
    <t>CV-ETC-023</t>
  </si>
  <si>
    <t>부정형돌</t>
  </si>
  <si>
    <t>CV-ETC-024</t>
  </si>
  <si>
    <t>조경용수목</t>
  </si>
  <si>
    <t>주</t>
  </si>
  <si>
    <t>수목</t>
  </si>
  <si>
    <t>CV-ETC-025</t>
  </si>
  <si>
    <t>잔디</t>
  </si>
  <si>
    <t>CV-ETC-026</t>
  </si>
  <si>
    <t>초화류</t>
  </si>
  <si>
    <t>CV-ETC-027</t>
  </si>
  <si>
    <t>철골구조물</t>
  </si>
  <si>
    <t>레디믹스트 콘크리트:철골구조물</t>
  </si>
  <si>
    <t>CV-ETC-028</t>
  </si>
  <si>
    <t>현장혼합콘크리트(인력및믹서)</t>
  </si>
  <si>
    <t>무근콘크리트</t>
  </si>
  <si>
    <t>현장, 레미콘, 배합</t>
  </si>
  <si>
    <t>CV-ETC-029</t>
  </si>
  <si>
    <t>CV-ETC-030</t>
  </si>
  <si>
    <t>소형구조물</t>
  </si>
  <si>
    <t>CV-ETC-031</t>
  </si>
  <si>
    <t>와이어메쉬</t>
  </si>
  <si>
    <t>NHR-PRC</t>
  </si>
  <si>
    <t>7.07 c(1024p)</t>
  </si>
  <si>
    <t>실무요령 참조</t>
  </si>
  <si>
    <t>와이어메쉬, 와이어메시</t>
  </si>
  <si>
    <t>CV-ETC-032</t>
  </si>
  <si>
    <t>쉬즈판</t>
  </si>
  <si>
    <t>2026년 원문 p76~80 대조 완료</t>
  </si>
  <si>
    <t>CV-ETC-033</t>
  </si>
  <si>
    <t>졸대</t>
  </si>
  <si>
    <t>2026년 원문 p76~81 대조 완료</t>
  </si>
  <si>
    <t>CV-ETC-034</t>
  </si>
  <si>
    <t>텍스</t>
  </si>
  <si>
    <t>2026년 원문 p76~82 대조 완료</t>
  </si>
  <si>
    <t>CV-ETC-035</t>
  </si>
  <si>
    <t>석고판</t>
  </si>
  <si>
    <t>못붙임용</t>
  </si>
  <si>
    <t>2026년 원문 p76~83 대조 완료</t>
  </si>
  <si>
    <t>CV-ETC-036</t>
  </si>
  <si>
    <t>본드붙임용</t>
  </si>
  <si>
    <t>2026년 원문 p76~84 대조 완료</t>
  </si>
  <si>
    <t>CV-ETC-037</t>
  </si>
  <si>
    <t>콜크판</t>
  </si>
  <si>
    <t>2026년 원문 p76~85 대조 완료</t>
  </si>
  <si>
    <t>CV-ETC-038</t>
  </si>
  <si>
    <t>단열재</t>
  </si>
  <si>
    <t>2026년 원문 p76~86 대조 완료</t>
  </si>
  <si>
    <t>CV-ETC-039</t>
  </si>
  <si>
    <t>유리</t>
  </si>
  <si>
    <t>2026년 원문 p76~87 대조 완료</t>
  </si>
  <si>
    <t>CV-ETC-040</t>
  </si>
  <si>
    <t>테라콧타</t>
  </si>
  <si>
    <t>2026년 원문 p76~88 대조 완료</t>
  </si>
  <si>
    <t>CV-ETC-041</t>
  </si>
  <si>
    <t>블록</t>
  </si>
  <si>
    <t>2026년 원문 p76~89 대조 완료</t>
  </si>
  <si>
    <t>CV-ETC-042</t>
  </si>
  <si>
    <t>기와</t>
  </si>
  <si>
    <t>2026년 원문 p76~90 대조 완료</t>
  </si>
  <si>
    <t>CV-ETC-043</t>
  </si>
  <si>
    <t>슬레이트</t>
  </si>
  <si>
    <t>2026년 원문 p76~91 대조 완료</t>
  </si>
  <si>
    <t>CV-ETC-044</t>
  </si>
  <si>
    <t>타일</t>
  </si>
  <si>
    <t>모자이크</t>
  </si>
  <si>
    <t>2026년 원문 p76~92 대조 완료</t>
  </si>
  <si>
    <t>CV-ETC-045</t>
  </si>
  <si>
    <t>도기</t>
  </si>
  <si>
    <t>2026년 원문 p76~93 대조 완료</t>
  </si>
  <si>
    <t>CV-ETC-046</t>
  </si>
  <si>
    <t>자기</t>
  </si>
  <si>
    <t>2026년 원문 p76~94 대조 완료</t>
  </si>
  <si>
    <t>CV-ETC-047</t>
  </si>
  <si>
    <t>2026년 원문 p76~95 대조 완료</t>
  </si>
  <si>
    <t>CV-ETC-048</t>
  </si>
  <si>
    <t>리노륨</t>
  </si>
  <si>
    <t>2026년 원문 p76~96 대조 완료</t>
  </si>
  <si>
    <t>CV-ETC-049</t>
  </si>
  <si>
    <t>비닐</t>
  </si>
  <si>
    <t>2026년 원문 p76~97 대조 완료</t>
  </si>
  <si>
    <t>CV-ETC-050</t>
  </si>
  <si>
    <t>비닐렉스</t>
  </si>
  <si>
    <t>2026년 원문 p76~98 대조 완료</t>
  </si>
  <si>
    <t>CV-ETC-051</t>
  </si>
  <si>
    <t>크링카</t>
  </si>
  <si>
    <t>2026년 원문 p76~99 대조 완료</t>
  </si>
  <si>
    <t>CV-ETC-052</t>
  </si>
  <si>
    <t>테라죠판</t>
  </si>
  <si>
    <t>2026년 원문 p76~100 대조 완료</t>
  </si>
  <si>
    <t>CV-ETC-053</t>
  </si>
  <si>
    <t>위생기구</t>
  </si>
  <si>
    <t>도기·자기류</t>
  </si>
  <si>
    <t>2026년 원문 p76~101 대조 완료</t>
  </si>
  <si>
    <t>CV-EAR-001</t>
  </si>
  <si>
    <t>토공</t>
  </si>
  <si>
    <t>쌓기재료</t>
  </si>
  <si>
    <t>순쌓기구간</t>
  </si>
  <si>
    <t>19-5)-(3)① 쌓기 재료할증(667p)</t>
  </si>
  <si>
    <t>쌓기 재료할증(순쌓기 구간)</t>
  </si>
  <si>
    <t>토공유동표 운반량(덤프) 중 토사량 및 순쌓기량에 6% 가산. 다짐상태를 자연상태로 환산 후 적용(단가산출도 자연상태 기준)</t>
  </si>
  <si>
    <t>토공, 쌓기, 유동표</t>
  </si>
  <si>
    <t>250612 국도건설공사 설계실무 요령(2025.06) 원문 완료</t>
  </si>
  <si>
    <t>CV-EAR-002</t>
  </si>
  <si>
    <t>사토구간</t>
  </si>
  <si>
    <t>19-5)-(3)② 쌓기 재료할증(667p)</t>
  </si>
  <si>
    <t>쌓기 재료할증(사토 구간)</t>
  </si>
  <si>
    <t>토공유동표 운반량(덤프) 중 토사수량에 6% 가산하고 동일량을 사토량에서 감함</t>
  </si>
  <si>
    <t>토공, 쌓기, 사토</t>
  </si>
  <si>
    <t>250612 국도건설공사 설계실무 요령(2025.07) 원문 완료</t>
  </si>
  <si>
    <t>CV-EAR-003</t>
  </si>
  <si>
    <t>속채움모래</t>
  </si>
  <si>
    <t>팩드레인(P.D) D=120mm×4EA</t>
  </si>
  <si>
    <t>단가산출기준 Pack Drain 속채움(869p)</t>
  </si>
  <si>
    <t>P.D 1본당 속채움모래량</t>
  </si>
  <si>
    <t>V=(π×0.12²/4)×4=0.045㎥/m × 1.2(할증)=0.054㎥/m</t>
  </si>
  <si>
    <t>팩드레인, PD, 연약지반, 속채움</t>
  </si>
  <si>
    <t>250612 국도건설공사 설계실무 요령(2025.08) 원문 완료</t>
  </si>
  <si>
    <t>CV-SUB-006</t>
  </si>
  <si>
    <t>동상방지층·보조기층재</t>
  </si>
  <si>
    <t>재운반량</t>
  </si>
  <si>
    <t>2-가-4) 동상방지층 및 보조기층(772p)</t>
  </si>
  <si>
    <t>골재구입량 및 재운반량</t>
  </si>
  <si>
    <t>포설량에 F치(C/L=1.175/0.95) 적용해 구입량 산출 후, 재운반량은 구입수량에 4% 할증 가산</t>
  </si>
  <si>
    <t>노상, 보조기층, 동상방지층, 운반</t>
  </si>
  <si>
    <t>250612 국도건설공사 설계실무 요령(2025.09) 원문 완료</t>
  </si>
  <si>
    <t>CV-SUB-007</t>
  </si>
  <si>
    <t>혼합골재(조골재)</t>
  </si>
  <si>
    <t>보조기층·동상방지층 생산</t>
  </si>
  <si>
    <t>3-가-4) 혼합골재 생산 재료할증(777p)</t>
  </si>
  <si>
    <t>혼합골재 재료할증(조골재)</t>
  </si>
  <si>
    <t>재료분리 산식에 1.04로 직접 반영</t>
  </si>
  <si>
    <t>혼합골재, 조골재, 재료분리</t>
  </si>
  <si>
    <t>250612 국도건설공사 설계실무 요령(2025.10) 원문 완료</t>
  </si>
  <si>
    <t>CV-SUB-008</t>
  </si>
  <si>
    <t>혼합골재(세골재)</t>
  </si>
  <si>
    <t>보조기층 생산</t>
  </si>
  <si>
    <t>혼합골재 재료할증(세골재)</t>
  </si>
  <si>
    <t>재료분리 산식에 1.06으로 직접 반영. 0.08mm체 통과율 상한 5% 이내</t>
  </si>
  <si>
    <t>혼합골재, 세골재, 재료분리</t>
  </si>
  <si>
    <t>250612 국도건설공사 설계실무 요령(2025.11) 원문 완료</t>
  </si>
  <si>
    <t>CV-SUB-009</t>
  </si>
  <si>
    <t>유용토</t>
  </si>
  <si>
    <t>모래혼합(혼합골재)</t>
  </si>
  <si>
    <t>혼합골재 재료할증(유용토)</t>
  </si>
  <si>
    <t>혼합골재, 유용토</t>
  </si>
  <si>
    <t>250612 국도건설공사 설계실무 요령(2025.12) 원문 완료</t>
  </si>
  <si>
    <t>CV-SUB-010</t>
  </si>
  <si>
    <t>스크리닝스</t>
  </si>
  <si>
    <t>보조기층 세골재용</t>
  </si>
  <si>
    <t>5-11) 스크리닝스 활용(657p)</t>
  </si>
  <si>
    <t>스크리닝스 발생량</t>
  </si>
  <si>
    <t>발생량 = 구조물·포장용 골재중량의 25%(단위중량 1.7t/㎥). 혼합골재 중량의 30%까지 대체, 수량은 정산</t>
  </si>
  <si>
    <t>스크리닝스, 부순잔골재, 보조기층</t>
  </si>
  <si>
    <t>250612 국도건설공사 설계실무 요령(2025.13) 원문 완료</t>
  </si>
  <si>
    <t>CV-CON-013</t>
  </si>
  <si>
    <t>린콘크리트</t>
  </si>
  <si>
    <t>기층(T=15cm) 생산·운반</t>
  </si>
  <si>
    <t>2-나 린콘크리트기층(773p)</t>
  </si>
  <si>
    <t>린콘크리트기층</t>
  </si>
  <si>
    <t>포설량의 4% 할증(생산 및 운반)</t>
  </si>
  <si>
    <t>포장, 린콘크리트, 기층</t>
  </si>
  <si>
    <t>250612 국도건설공사 설계실무 요령(2025.14) 원문 완료</t>
  </si>
  <si>
    <t>CV-CON-014</t>
  </si>
  <si>
    <t>시멘트 안정처리 필터층</t>
  </si>
  <si>
    <t>생산·운반</t>
  </si>
  <si>
    <t>2-다 시멘트 안정처리 필터층(773p)</t>
  </si>
  <si>
    <t>포장, 필터층, 시멘트안정처리</t>
  </si>
  <si>
    <t>250612 국도건설공사 설계실무 요령(2025.15) 원문 완료</t>
  </si>
  <si>
    <t>CV-CON-015</t>
  </si>
  <si>
    <t>필터층</t>
  </si>
  <si>
    <t>2-라 필터층(773p)</t>
  </si>
  <si>
    <t>포장, 필터층</t>
  </si>
  <si>
    <t>250612 국도건설공사 설계실무 요령(2025.16) 원문 완료</t>
  </si>
  <si>
    <t>CV-CON-016</t>
  </si>
  <si>
    <t>포장용 생산</t>
  </si>
  <si>
    <t>2-마 콘크리트 생산(773p)</t>
  </si>
  <si>
    <t>콘크리트 생산</t>
  </si>
  <si>
    <t>포설량의 4% 할증. 구조물용 콘크리트(절성보강슬래브, 교량접속슬래브)는 구조물공으로 이월 집계</t>
  </si>
  <si>
    <t>포장, 콘크리트, 생산</t>
  </si>
  <si>
    <t>250612 국도건설공사 설계실무 요령(2025.17) 원문 완료</t>
  </si>
  <si>
    <t>CV-CON-017</t>
  </si>
  <si>
    <t>포장용 운반</t>
  </si>
  <si>
    <t>2-바 콘크리트 운반(773p)</t>
  </si>
  <si>
    <t>콘크리트 운반(포장용)</t>
  </si>
  <si>
    <t>포설량의 4% 할증. 덤프트럭=기계포설분, 믹서트럭=인력포설분</t>
  </si>
  <si>
    <t>포장, 콘크리트, 운반</t>
  </si>
  <si>
    <t>CV-CON-018</t>
  </si>
  <si>
    <t>구조물공 운반</t>
  </si>
  <si>
    <t>콘크리트 운반(구조물공)</t>
  </si>
  <si>
    <t>구조물공 콘크리트는 1%로 할증(포장용 4%와 구분)</t>
  </si>
  <si>
    <t>구조물, 콘크리트, 운반</t>
  </si>
  <si>
    <t>250612 국도건설공사 설계실무 요령(2025.19) 원문 완료</t>
  </si>
  <si>
    <t>CV-CON-019</t>
  </si>
  <si>
    <t>프라임 코팅(RSC-3)</t>
  </si>
  <si>
    <t>살포량 100ℓ/a</t>
  </si>
  <si>
    <t>2-너-3) 프라임 코팅(775p)</t>
  </si>
  <si>
    <t>프라임 코팅</t>
  </si>
  <si>
    <t>아스팔트 재료층과 보조기층 사이 살포. 살포면적은 기층 하단폭</t>
  </si>
  <si>
    <t>포장, 프라임코팅, RSC-3</t>
  </si>
  <si>
    <t>250612 국도건설공사 설계실무 요령(2025.20) 원문 완료</t>
  </si>
  <si>
    <t>CV-CON-020</t>
  </si>
  <si>
    <t>택 코팅(RSC-4)</t>
  </si>
  <si>
    <t>살포량 30ℓ/a</t>
  </si>
  <si>
    <t>2-더-3) 택코팅(775p)</t>
  </si>
  <si>
    <t>택코팅</t>
  </si>
  <si>
    <t>아스팔트층(표층·중간층·기층) 사이 살포</t>
  </si>
  <si>
    <t>포장, 택코팅, RSC-4</t>
  </si>
  <si>
    <t>250612 국도건설공사 설계실무 요령(2025.21) 원문 완료</t>
  </si>
  <si>
    <t>CV-CON-021</t>
  </si>
  <si>
    <t>콘크리트 기층·슬래브 배합비</t>
  </si>
  <si>
    <t>7.03·7.04 콘크리트 배합비(1020p)</t>
  </si>
  <si>
    <t>콘크리트 배합비 할증(시멘트)</t>
  </si>
  <si>
    <t>건설표준품셈 공통부문 1-4-1 재료의 할증 인용</t>
  </si>
  <si>
    <t>배합비, 시멘트, 포장</t>
  </si>
  <si>
    <t>250612 국도건설공사 설계실무 요령(2025.22) 원문 완료</t>
  </si>
  <si>
    <t>CV-CON-022</t>
  </si>
  <si>
    <t>콘크리트 배합비 할증(모래)</t>
  </si>
  <si>
    <t>단위중량 1,600kg/㎥ 기준</t>
  </si>
  <si>
    <t>배합비, 모래, 잔골재</t>
  </si>
  <si>
    <t>250612 국도건설공사 설계실무 요령(2025.23) 원문 완료</t>
  </si>
  <si>
    <t>CV-CON-023</t>
  </si>
  <si>
    <t>자갈(쇄석 Φ32)</t>
  </si>
  <si>
    <t>콘크리트 배합비 할증(자갈)</t>
  </si>
  <si>
    <t>단위중량 1,700kg/㎥ 기준</t>
  </si>
  <si>
    <t>배합비, 자갈, 굵은골재</t>
  </si>
  <si>
    <t>250612 국도건설공사 설계실무 요령(2025.24) 원문 완료</t>
  </si>
  <si>
    <t>CV-CON-024</t>
  </si>
  <si>
    <t>AE제</t>
  </si>
  <si>
    <t>콘크리트 슬래브 배합비</t>
  </si>
  <si>
    <t>7.04 콘크리트생산 배합비(1022p)</t>
  </si>
  <si>
    <t>콘크리트 배합비 할증(AE제)</t>
  </si>
  <si>
    <t>배합비, AE제, 혼화재</t>
  </si>
  <si>
    <t>250612 국도건설공사 설계실무 요령(2025.25) 원문 완료</t>
  </si>
  <si>
    <t>CV-STL-022</t>
  </si>
  <si>
    <t>복잡 구조물 이상 주요철근 D13㎜ 이하</t>
  </si>
  <si>
    <t>마-2)① 철근의 할증율(701p)</t>
  </si>
  <si>
    <t>이형철근 할증율(D13㎜ 이하)</t>
  </si>
  <si>
    <t>배력근·띠철근·조립철근·슬래브철근 등으로 손실율이 적게 발생</t>
  </si>
  <si>
    <t>철근, rebar, 이형, D13</t>
  </si>
  <si>
    <t>250612 국도건설공사 설계실무 요령(2025.26) 원문 완료</t>
  </si>
  <si>
    <t>CV-STL-023</t>
  </si>
  <si>
    <t>복잡 구조물 이상 주요철근 D16~19㎜</t>
  </si>
  <si>
    <t>이형철근 할증율(D16~19㎜)</t>
  </si>
  <si>
    <t>철근, rebar, 이형, D16, D19</t>
  </si>
  <si>
    <t>250612 국도건설공사 설계실무 요령(2025.27) 원문 완료</t>
  </si>
  <si>
    <t>CV-STL-024</t>
  </si>
  <si>
    <t>복잡 구조물 이상 주요철근 D22㎜ 이상</t>
  </si>
  <si>
    <t>이형철근 할증율(D22㎜ 이상)</t>
  </si>
  <si>
    <t>구조체 주기능 철근으로 적용되므로 표준품셈 기준 6% 적용</t>
  </si>
  <si>
    <t>철근, rebar, 이형, D22, 주철근</t>
  </si>
  <si>
    <t>250612 국도건설공사 설계실무 요령(2025.28) 원문 완료</t>
  </si>
  <si>
    <t>CV-STL-025</t>
  </si>
  <si>
    <t>기타 구조물</t>
  </si>
  <si>
    <t>마-2)② 철근의 할증율(701p)</t>
  </si>
  <si>
    <t>이형철근 할증율(기타 구조물)</t>
  </si>
  <si>
    <t>현장 수급계획 및 공장가공으로 손실율 저감이 현저히 기대될 경우, 발주처 방침을 득하여 모든 구조물에 3% 적용 가능</t>
  </si>
  <si>
    <t>철근, rebar, 이형, 기타구조물</t>
  </si>
  <si>
    <t>250612 국도건설공사 설계실무 요령(2025.29) 원문 완료</t>
  </si>
  <si>
    <t>CV-STL-026</t>
  </si>
  <si>
    <t>강교 제작용</t>
  </si>
  <si>
    <t>고-2) 강교제작 및 운반(698p)</t>
  </si>
  <si>
    <t>강판제작 할증수량 반영 금지</t>
  </si>
  <si>
    <t>실제손실율에 따라 정산되므로 강판 자재비에 할증수량을 반영하지 않음(Net 수량 적용)</t>
  </si>
  <si>
    <t>강교, 강판, 할증금지, 정산</t>
  </si>
  <si>
    <t>250612 국도건설공사 설계실무 요령(2025.30) 원문 완료</t>
  </si>
  <si>
    <t>CV-STL-027</t>
  </si>
  <si>
    <t>암거 SKEW 보강철근</t>
  </si>
  <si>
    <t>⑦ 철근(683p)</t>
  </si>
  <si>
    <t>SKEW 보강철근 수량산출</t>
  </si>
  <si>
    <t>사각 15° 이상인 암거의 보강철근은 할증 제외된 물량으로 계산</t>
  </si>
  <si>
    <t>암거, SKEW, 보강철근, 할증제외</t>
  </si>
  <si>
    <t>250612 국도건설공사 설계실무 요령(2025.31) 원문 완료</t>
  </si>
  <si>
    <t>CV-STL-028</t>
  </si>
  <si>
    <t>강관파일</t>
  </si>
  <si>
    <t>Φ508mm 자재대</t>
  </si>
  <si>
    <t>파-2)③ STEEL PILE(705p) / 4.03(957p)</t>
  </si>
  <si>
    <t>STEEL PILE 자재비</t>
  </si>
  <si>
    <t>자재비 = (항타수량 + 0.20m) × 1.05. 항타비는 말뚝길이 -0.20m(경사항타 -0.25m)</t>
  </si>
  <si>
    <t>강관파일, STEEL PILE, 말뚝, 항타</t>
  </si>
  <si>
    <t>250612 국도건설공사 설계실무 요령(2025.32) 원문 완료</t>
  </si>
  <si>
    <t>CV-PIP-002</t>
  </si>
  <si>
    <t>배수관</t>
  </si>
  <si>
    <t>관 연장(흄관 구입)</t>
  </si>
  <si>
    <t>4) 배수관 연장(680p)</t>
  </si>
  <si>
    <t>배수관 연장 할증</t>
  </si>
  <si>
    <t>횡단면도상 연장을 m단위 절상 후 3% 할증, 가능한 본당 산출. 기초콘크리트·배수토공은 절상연장만 적용(할증 제외). 시공연장(m) ≠ 흄관 구입 본수(본)</t>
  </si>
  <si>
    <t>배수관, 흄관, 연장, 절상</t>
  </si>
  <si>
    <t>250612 국도건설공사 설계실무 요령(2025.33) 원문 완료</t>
  </si>
  <si>
    <t>CV-ETC-054</t>
  </si>
  <si>
    <t>시트방수재</t>
  </si>
  <si>
    <t>구조물 Sheet 방수</t>
  </si>
  <si>
    <t>4-가 Sheet 방수(726p)</t>
  </si>
  <si>
    <t>Sheet 방수 자재수량 할증</t>
  </si>
  <si>
    <t>사급자재 별도 계상</t>
  </si>
  <si>
    <t>방수, 시트방수, sheet</t>
  </si>
  <si>
    <t>250612 국도건설공사 설계실무 요령(2025.34) 원문 완료</t>
  </si>
  <si>
    <t>CV-ETC-055</t>
  </si>
  <si>
    <t>저면매트</t>
  </si>
  <si>
    <t>기어형 콘크리트블록 저면</t>
  </si>
  <si>
    <t>단가산출기준 4.05 d 저면매트(959p)</t>
  </si>
  <si>
    <t>저면매트 자재비</t>
  </si>
  <si>
    <t>자재비 = 1.0㎡ × 1.10</t>
  </si>
  <si>
    <t>매트, 저면매트, 호안</t>
  </si>
  <si>
    <t>250612 국도건설공사 설계실무 요령(2025.35) 원문 완료</t>
  </si>
  <si>
    <t>CV-ETC-056</t>
  </si>
  <si>
    <t>떼</t>
  </si>
  <si>
    <t>평떼·줄떼(0.3×0.3)</t>
  </si>
  <si>
    <t>2.01 a·b 비탈면 보호공(875p)</t>
  </si>
  <si>
    <t>떼 구입비 현장도착 할증</t>
  </si>
  <si>
    <t>평떼 11매×1.1, 줄떼 11매×1.1/3(30cm 간격) 기준</t>
  </si>
  <si>
    <t>떼, 평떼, 줄떼, 잔디, 비탈면</t>
  </si>
  <si>
    <t>250612 국도건설공사 설계실무 요령(2025.36) 원문 완료</t>
  </si>
  <si>
    <t>CV-ETC-057</t>
  </si>
  <si>
    <t>스페아샤</t>
  </si>
  <si>
    <t>7.07 d 포장공(1025p)</t>
  </si>
  <si>
    <t>스페이샤</t>
  </si>
  <si>
    <t>스페이셔, 스페이스,</t>
  </si>
  <si>
    <t>250612 국도건설공사 설계실무 요령(2025.37) 원문 완료</t>
  </si>
  <si>
    <t>CV-CON-025</t>
  </si>
  <si>
    <t>정치식</t>
  </si>
  <si>
    <t>LH-CIV</t>
  </si>
  <si>
    <t>1.9.1 콘크리트 및 포장재료(12p)</t>
  </si>
  <si>
    <t>주) 속채움 재료의 경우에도 이 값을 준용한다</t>
  </si>
  <si>
    <t>콘크리트, 포장, 정치식</t>
  </si>
  <si>
    <t>250612 국도건설공사 설계실무 요령(2025.38) 원문 완료</t>
  </si>
  <si>
    <t>CV-CON-026</t>
  </si>
  <si>
    <t>기타(정치식 외)</t>
  </si>
  <si>
    <t>콘크리트, 포장, 기타</t>
  </si>
  <si>
    <t>250612 국도건설공사 설계실무 요령(2025.39) 원문 완료</t>
  </si>
  <si>
    <t>CV-CON-027</t>
  </si>
  <si>
    <t>잔골재·채움재</t>
  </si>
  <si>
    <t>250612 국도건설공사 설계실무 요령(2025.40) 원문 완료</t>
  </si>
  <si>
    <t>CV-CON-028</t>
  </si>
  <si>
    <t>250612 국도건설공사 설계실무 요령(2025.41) 원문 완료</t>
  </si>
  <si>
    <t>CV-CON-029</t>
  </si>
  <si>
    <t>250612 국도건설공사 설계실무 요령(2025.42) 원문 완료</t>
  </si>
  <si>
    <t>CV-CON-030</t>
  </si>
  <si>
    <t>250612 국도건설공사 설계실무 요령(2025.43) 원문 완료</t>
  </si>
  <si>
    <t>CV-CON-031</t>
  </si>
  <si>
    <t>250612 국도건설공사 설계실무 요령(2025.44) 원문 완료</t>
  </si>
  <si>
    <t>CV-CON-032</t>
  </si>
  <si>
    <t>250612 국도건설공사 설계실무 요령(2025.45) 원문 완료</t>
  </si>
  <si>
    <t>CV-CON-033</t>
  </si>
  <si>
    <t>250612 국도건설공사 설계실무 요령(2025.46) 원문 완료</t>
  </si>
  <si>
    <t>CV-CON-034</t>
  </si>
  <si>
    <t>250612 국도건설공사 설계실무 요령(2025.47) 원문 완료</t>
  </si>
  <si>
    <t>CV-CON-035</t>
  </si>
  <si>
    <t>250612 국도건설공사 설계실무 요령(2025.48) 원문 완료</t>
  </si>
  <si>
    <t>CV-SUB-011</t>
  </si>
  <si>
    <t>1.9.2 노상 및 노반재료(12p)</t>
  </si>
  <si>
    <t>노상, 노반, 보조기층</t>
  </si>
  <si>
    <t>250612 국도건설공사 설계실무 요령(2025.49) 원문 완료</t>
  </si>
  <si>
    <t>CV-SUB-012</t>
  </si>
  <si>
    <t>크러싱하는 경우 4% 적용</t>
  </si>
  <si>
    <t>LH 설계지침(토목) 제3454호(2025.11.26. 45차 개정) 원문 대조 / 인쇄 쪽번호 = PDF 물리페이지 -4 / KCS-STD 4%(CV-SUB-002)와 상이 — LH는 2%(크러싱 4%)</t>
  </si>
  <si>
    <t>CV-SUB-013</t>
  </si>
  <si>
    <t>LH 설계지침(토목) 제3454호(2025.11.26. 45차 개정) 원문 대조 / 인쇄 쪽번호 = PDF 물리페이지 -4 / KCS-STD 4%(CV-SUB-003)와 상이 — LH는 2%(크러싱 4%)</t>
  </si>
  <si>
    <t>CV-SUB-014</t>
  </si>
  <si>
    <t>LH 설계지침(토목) 제3454호(2025.11.26. 45차 개정) 원문 대조 / 인쇄 쪽번호 = PDF 물리페이지 -4 / KCS-STD 4%(CV-SUB-004)와 상이 — LH는 2%(크러싱 4%)</t>
  </si>
  <si>
    <t>CV-SUB-015</t>
  </si>
  <si>
    <t>노상·노반용 석분은 할증 없음</t>
  </si>
  <si>
    <t>LH 설계지침(토목) 제3454호(2025.11.26. 45차 개정) 원문 대조 / 인쇄 쪽번호 = PDF 물리페이지 -4 / KCS-STD 표에 없는 LH 고유 항목</t>
  </si>
  <si>
    <t>CV-SUB-016</t>
  </si>
  <si>
    <t>LH 설계지침(토목) 제3454호(2025.11.26. 45차 개정) 원문 대조 / 인쇄 쪽번호 = PDF 물리페이지 -4</t>
  </si>
  <si>
    <t>1.9.3 강재류(12p)</t>
  </si>
  <si>
    <t>강재, 철근, 형강</t>
  </si>
  <si>
    <t>CV-STL-032</t>
  </si>
  <si>
    <t>CV-STL-033</t>
  </si>
  <si>
    <t>CV-STL-034</t>
  </si>
  <si>
    <t>CV-STL-035</t>
  </si>
  <si>
    <t>옥외공사</t>
  </si>
  <si>
    <t>옥외공사 기준. 옥내 사용재료는 10% 이내로 한다</t>
  </si>
  <si>
    <t>LH 설계지침(토목) 제3454호(2025.11.26. 45차 개정) 원문 대조 / 인쇄 쪽번호 = PDF 물리페이지 -4 / KCS-STD 5%(CV-STL-007)와 상이 — LH는 3~5% 범위</t>
  </si>
  <si>
    <t>CV-STL-036</t>
  </si>
  <si>
    <t>100㎜ 이상</t>
  </si>
  <si>
    <t>형강의 대형구분은 100㎜ 이상</t>
  </si>
  <si>
    <t>CV-STL-037</t>
  </si>
  <si>
    <t>100㎜ 미만</t>
  </si>
  <si>
    <t>CV-STL-038</t>
  </si>
  <si>
    <t>CV-STL-039</t>
  </si>
  <si>
    <t>CV-STL-040</t>
  </si>
  <si>
    <t>CV-STL-041</t>
  </si>
  <si>
    <t>CV-STL-042</t>
  </si>
  <si>
    <t>CV-STL-043</t>
  </si>
  <si>
    <t>CV-STL-044</t>
  </si>
  <si>
    <t>CV-STL-045</t>
  </si>
  <si>
    <t>CV-STL-046</t>
  </si>
  <si>
    <t>CV-PIP-003</t>
  </si>
  <si>
    <t>1.9.5 관 및 구조물기초 부설재료(13p)</t>
  </si>
  <si>
    <t>관기초, 구조물기초, 모래</t>
  </si>
  <si>
    <t>CV-ETC-138</t>
  </si>
  <si>
    <t>철근콘크리트관</t>
  </si>
  <si>
    <t>우수연결관</t>
  </si>
  <si>
    <t>1.9.4 철근콘크리트 관(13p)</t>
  </si>
  <si>
    <t>철근콘크리트관(우수연결관)</t>
  </si>
  <si>
    <t>흄관, 우수연결관, 배수</t>
  </si>
  <si>
    <t>LH 설계지침(토목) 제3454호(2025.11.26. 45차 개정) 원문 대조 / 인쇄 쪽번호 = PDF 물리페이지 -4 / KCS-STD 표에 없는 LH 고유 항목(우수연결관 9%) / ID 중복으로 재부여</t>
  </si>
  <si>
    <t>CV-ETC-058</t>
  </si>
  <si>
    <t>본관</t>
  </si>
  <si>
    <t>철근콘크리트관(본관)</t>
  </si>
  <si>
    <t>흄관, 본관, 배수</t>
  </si>
  <si>
    <t>LH 설계지침(토목) 제3454호(2025.11.26. 45차 개정) 원문 대조 / 인쇄 쪽번호 = PDF 물리페이지 -4 / KCS-STD 원심력철근콘크리트관 3%(CV-ETC-012)와 동일값</t>
  </si>
  <si>
    <t>CV-ETC-059</t>
  </si>
  <si>
    <t>1.9.6 기타재료(13p)</t>
  </si>
  <si>
    <t>목재(각재)</t>
  </si>
  <si>
    <t>CV-ETC-060</t>
  </si>
  <si>
    <t>목재(판재)</t>
  </si>
  <si>
    <t>CV-ETC-061</t>
  </si>
  <si>
    <t>문틀용</t>
  </si>
  <si>
    <t>목재(문틀용)</t>
  </si>
  <si>
    <t>CV-ETC-062</t>
  </si>
  <si>
    <t>문짝용</t>
  </si>
  <si>
    <t>목재(문짝용)</t>
  </si>
  <si>
    <t>CV-ETC-063</t>
  </si>
  <si>
    <t>합판(일반용합판)</t>
  </si>
  <si>
    <t>CV-ETC-064</t>
  </si>
  <si>
    <t>합판(수장용합판)</t>
  </si>
  <si>
    <t>CV-ETC-065</t>
  </si>
  <si>
    <t>CV-ETC-066</t>
  </si>
  <si>
    <t>CV-ETC-067</t>
  </si>
  <si>
    <t>콘크리트벽돌</t>
  </si>
  <si>
    <t>벽돌(콘크리트벽돌)</t>
  </si>
  <si>
    <t>CV-ETC-068</t>
  </si>
  <si>
    <t>콘크리트벽돌 KS</t>
  </si>
  <si>
    <t>벽돌(콘크리트벽돌 KS)</t>
  </si>
  <si>
    <t>CV-ETC-069</t>
  </si>
  <si>
    <t>벽돌(붉은벽돌)</t>
  </si>
  <si>
    <t>CV-ETC-070</t>
  </si>
  <si>
    <t>고압벽돌</t>
  </si>
  <si>
    <t>벽돌(고압벽돌)</t>
  </si>
  <si>
    <t>CV-ETC-071</t>
  </si>
  <si>
    <t>벽돌(내화벽돌)</t>
  </si>
  <si>
    <t>CV-ETC-072</t>
  </si>
  <si>
    <t>벽돌(경계블록)</t>
  </si>
  <si>
    <t>CV-ETC-073</t>
  </si>
  <si>
    <t>벽돌(호안블록)</t>
  </si>
  <si>
    <t>CV-ETC-074</t>
  </si>
  <si>
    <t>인터로킹블록</t>
  </si>
  <si>
    <t>벽돌(인터로킹블록)</t>
  </si>
  <si>
    <t>CV-ETC-075</t>
  </si>
  <si>
    <t>원석(마름돌용)</t>
  </si>
  <si>
    <t>CV-ETC-076</t>
  </si>
  <si>
    <t>석재판붙임용재(정형돌)</t>
  </si>
  <si>
    <t>CV-ETC-077</t>
  </si>
  <si>
    <t>석재판붙임용재(부정형돌)</t>
  </si>
  <si>
    <t>CV-ETC-078</t>
  </si>
  <si>
    <t>조경용 수목</t>
  </si>
  <si>
    <t>LH 설계지침(토목) 제3454호(2025.11.26. 45차 개정) 원문 대조 / 인쇄 쪽번호 = PDF 물리페이지 -4 / KCS-STD 10%(CV-ETC-024)와 상이 — LH는 5%</t>
  </si>
  <si>
    <t>CV-ETC-079</t>
  </si>
  <si>
    <t>잔디 및 초화류</t>
  </si>
  <si>
    <t>LH 설계지침(토목) 제3454호(2025.11.26. 45차 개정) 원문 대조 / 인쇄 쪽번호 = PDF 물리페이지 -4 / KCS-STD 잔디·초화류 각 10%(CV-ETC-025·026)와 상이 — LH는 5%</t>
  </si>
  <si>
    <t>CV-ETC-080</t>
  </si>
  <si>
    <t>레디믹스트콘크리트</t>
  </si>
  <si>
    <t>무근 구조물(현장플랜트포함)</t>
  </si>
  <si>
    <t>레디믹스트콘크리트(무근 구조물(현장플랜트포함))</t>
  </si>
  <si>
    <t>CV-ETC-081</t>
  </si>
  <si>
    <t>철근 구조물(현장플랜트포함)</t>
  </si>
  <si>
    <t>레디믹스트콘크리트(철근 구조물(현장플랜트포함))</t>
  </si>
  <si>
    <t>CV-ETC-082</t>
  </si>
  <si>
    <t>철골 구조물(현장플랜트포함)</t>
  </si>
  <si>
    <t>레디믹스트콘크리트(철골 구조물(현장플랜트포함))</t>
  </si>
  <si>
    <t>CV-ETC-083</t>
  </si>
  <si>
    <t>현장혼합콘크리트타설</t>
  </si>
  <si>
    <t>무근 구조물(인력 및 믹서)</t>
  </si>
  <si>
    <t>현장혼합콘크리트타설(무근 구조물(인력 및 믹서))</t>
  </si>
  <si>
    <t>CV-ETC-084</t>
  </si>
  <si>
    <t>철근 구조물(인력 및 믹서)</t>
  </si>
  <si>
    <t>현장혼합콘크리트타설(철근 구조물(인력 및 믹서))</t>
  </si>
  <si>
    <t>CV-ETC-085</t>
  </si>
  <si>
    <t>소형 구조물(인력 및 믹서)</t>
  </si>
  <si>
    <t>현장혼합콘크리트타설(소형 구조물(인력 및 믹서))</t>
  </si>
  <si>
    <t>CV-ETC-086</t>
  </si>
  <si>
    <t>비닐카펫</t>
  </si>
  <si>
    <t>CV-ETC-087</t>
  </si>
  <si>
    <t>콘크리트 포장 혼합물의 포설</t>
  </si>
  <si>
    <t>CV-ETC-088</t>
  </si>
  <si>
    <t>아스팔트콘크리트포설</t>
  </si>
  <si>
    <t>현장플랜트포함</t>
  </si>
  <si>
    <t>아스팔트콘크리트포설(현장플랜트포함)</t>
  </si>
  <si>
    <t>CV-ETC-089</t>
  </si>
  <si>
    <t>CV-ETC-090</t>
  </si>
  <si>
    <t>CV-ETC-091</t>
  </si>
  <si>
    <t>석고판(못붙임용)</t>
  </si>
  <si>
    <t>LH 설계지침(토목) 제3454호(2025.11.26. 45차 개정) 원문 대조 / 인쇄 쪽번호 = PDF 물리페이지 -4 / KCS-STD 5%(CV-ETC-035)와 상이 — LH는 3%</t>
  </si>
  <si>
    <t>CV-ETC-092</t>
  </si>
  <si>
    <t>본드 붙임용</t>
  </si>
  <si>
    <t>석고판(본드 붙임용)</t>
  </si>
  <si>
    <t>CV-ETC-093</t>
  </si>
  <si>
    <t>CV-ETC-094</t>
  </si>
  <si>
    <t>스치로폴</t>
  </si>
  <si>
    <t>단열재(스치로폴)</t>
  </si>
  <si>
    <t>CV-ETC-095</t>
  </si>
  <si>
    <t>유리면</t>
  </si>
  <si>
    <t>단열재(유리면)</t>
  </si>
  <si>
    <t>LH 설계지침(토목) 제3454호(2025.11.26. 45차 개정) 원문 대조 / 인쇄 쪽번호 = PDF 물리페이지 -4 / KCS-STD는 단열재 10% 단일(CV-ETC-038) — LH는 재질별 세분</t>
  </si>
  <si>
    <t>CV-ETC-096</t>
  </si>
  <si>
    <t>LH 설계지침(토목) 제3454호(2025.11.26. 45차 개정) 원문 대조 / 인쇄 쪽번호 = PDF 물리페이지 -4 / KCS-STD 1%(CV-ETC-039)와 상이 — LH는 8%</t>
  </si>
  <si>
    <t>CV-ETC-097</t>
  </si>
  <si>
    <t>CV-ETC-098</t>
  </si>
  <si>
    <t>CV-ETC-099</t>
  </si>
  <si>
    <t>CV-ETC-100</t>
  </si>
  <si>
    <t>CV-ETC-101</t>
  </si>
  <si>
    <t>타일(모자이크)</t>
  </si>
  <si>
    <t>CV-ETC-102</t>
  </si>
  <si>
    <t>타일(도기)</t>
  </si>
  <si>
    <t>CV-ETC-103</t>
  </si>
  <si>
    <t>타일(자기)</t>
  </si>
  <si>
    <t>CV-ETC-104</t>
  </si>
  <si>
    <t>타일(아스팔트)</t>
  </si>
  <si>
    <t>CV-ETC-105</t>
  </si>
  <si>
    <t>타일(리노륨)</t>
  </si>
  <si>
    <t>CV-ETC-106</t>
  </si>
  <si>
    <t>타일(비닐)</t>
  </si>
  <si>
    <t>CV-ETC-107</t>
  </si>
  <si>
    <t>비닐랙스</t>
  </si>
  <si>
    <t>타일(비닐랙스)</t>
  </si>
  <si>
    <t>CV-ETC-108</t>
  </si>
  <si>
    <t>크링커</t>
  </si>
  <si>
    <t>타일(크링커)</t>
  </si>
  <si>
    <t>CV-ETC-109</t>
  </si>
  <si>
    <t>토관</t>
  </si>
  <si>
    <t>CV-ETC-110</t>
  </si>
  <si>
    <t>온돌용</t>
  </si>
  <si>
    <t>자갈(온돌용)</t>
  </si>
  <si>
    <t>CV-ETC-111</t>
  </si>
  <si>
    <t>콘크리트용</t>
  </si>
  <si>
    <t>자갈(콘크리트용)</t>
  </si>
  <si>
    <t>CV-ETC-112</t>
  </si>
  <si>
    <t>벽, 천장 미장용</t>
  </si>
  <si>
    <t>시멘트(벽, 천장 미장용)</t>
  </si>
  <si>
    <t>CV-ETC-113</t>
  </si>
  <si>
    <t>바닥 미장용</t>
  </si>
  <si>
    <t>시멘트(바닥 미장용)</t>
  </si>
  <si>
    <t>CV-ETC-114</t>
  </si>
  <si>
    <t>시멘트(콘크리트용)</t>
  </si>
  <si>
    <t>LH 설계지침(토목) 제3454호(2025.11.26. 45차 개정) 원문 대조 / 인쇄 쪽번호 = PDF 물리페이지 -4 / KCS-STD 정치식 2%·기타 3%(CV-CON-001·007)와 별개 항목 — 적용 대상 확인 필요</t>
  </si>
  <si>
    <t>CV-ETC-115</t>
  </si>
  <si>
    <t>모래(벽, 천장 미장용)</t>
  </si>
  <si>
    <t>CV-ETC-116</t>
  </si>
  <si>
    <t>모래(바닥 미장용)</t>
  </si>
  <si>
    <t>CV-ETC-117</t>
  </si>
  <si>
    <t>모래(콘크리트용)</t>
  </si>
  <si>
    <t>CV-ETC-118</t>
  </si>
  <si>
    <t>위생도기</t>
  </si>
  <si>
    <t>서양식대변기 및 세면기몸체</t>
  </si>
  <si>
    <t>1.9.6 기타재료(14p)</t>
  </si>
  <si>
    <t>위생도기(서양식대변기 및 세면기몸체)</t>
  </si>
  <si>
    <t>LH 설계지침(토목) 제3454호(2025.11.26. 45차 개정) 원문 대조 / 인쇄 쪽번호 = PDF 물리페이지 -4 / KCS-STD 위생기구 도기·자기류 2%(CV-ETC-053)와 상이 — LH는 1%</t>
  </si>
  <si>
    <t>CV-ETC-119</t>
  </si>
  <si>
    <t>메탈라스</t>
  </si>
  <si>
    <t>CV-ETC-120</t>
  </si>
  <si>
    <t>소석회</t>
  </si>
  <si>
    <t>소석회(벽, 천장 미장용)</t>
  </si>
  <si>
    <t>CV-ETC-121</t>
  </si>
  <si>
    <t>소석회(바닥 미장용)</t>
  </si>
  <si>
    <t>CV-ETC-122</t>
  </si>
  <si>
    <t>석고플라스터</t>
  </si>
  <si>
    <t>석고플라스터(벽, 천장 미장용)</t>
  </si>
  <si>
    <t>CV-ETC-123</t>
  </si>
  <si>
    <t>비닐천막지</t>
  </si>
  <si>
    <t>CV-ETC-124</t>
  </si>
  <si>
    <t>도배지</t>
  </si>
  <si>
    <t>CV-ETC-125</t>
  </si>
  <si>
    <t>아스팔트방수지</t>
  </si>
  <si>
    <t>펠트</t>
  </si>
  <si>
    <t>아스팔트방수지(펠트)</t>
  </si>
  <si>
    <t>CV-ETC-126</t>
  </si>
  <si>
    <t>루핑</t>
  </si>
  <si>
    <t>아스팔트방수지(루핑)</t>
  </si>
  <si>
    <t>CV-ETC-127</t>
  </si>
  <si>
    <t>철근콘크리트용</t>
  </si>
  <si>
    <t>레미콘(철근콘크리트용)</t>
  </si>
  <si>
    <t>CV-ETC-128</t>
  </si>
  <si>
    <t>무근콘크리트용</t>
  </si>
  <si>
    <t>레미콘(무근콘크리트용)</t>
  </si>
  <si>
    <t>CV-ETC-129</t>
  </si>
  <si>
    <t>합성수지파이프</t>
  </si>
  <si>
    <t>합성수지파이프(PVC관)</t>
  </si>
  <si>
    <t>CV-ETC-130</t>
  </si>
  <si>
    <t>덕트용 재료</t>
  </si>
  <si>
    <t>금속판</t>
  </si>
  <si>
    <t>덕트용 재료(금속판)</t>
  </si>
  <si>
    <t>CV-ETC-131</t>
  </si>
  <si>
    <t>프레스접합식 스테인리스강관</t>
  </si>
  <si>
    <t>CV-ETC-132</t>
  </si>
  <si>
    <t>이음 부속류</t>
  </si>
  <si>
    <t>CV-ETC-133</t>
  </si>
  <si>
    <t>강제 전선관</t>
  </si>
  <si>
    <t>CV-ETC-134</t>
  </si>
  <si>
    <t>전선</t>
  </si>
  <si>
    <t>자동제어용</t>
  </si>
  <si>
    <t>전선(자동제어용)</t>
  </si>
  <si>
    <t>CV-ETC-135</t>
  </si>
  <si>
    <t>제어용 케이블</t>
  </si>
  <si>
    <t>제어용 케이블(자동제어용)</t>
  </si>
  <si>
    <t>CV-ETC-136</t>
  </si>
  <si>
    <t>PVC전선관</t>
  </si>
  <si>
    <t>PVC전선관(자동제어용)</t>
  </si>
  <si>
    <t>CV-ETC-137</t>
  </si>
  <si>
    <t>합성수지파형전선관</t>
  </si>
  <si>
    <t>자동제어용(파상형경질 PE관)</t>
  </si>
  <si>
    <t>합성수지파형전선관(자동제어용(파상형경질 PE관))</t>
  </si>
  <si>
    <t>출처명</t>
  </si>
  <si>
    <t>발행기관</t>
  </si>
  <si>
    <t>대상공종</t>
  </si>
  <si>
    <t>개정주기</t>
  </si>
  <si>
    <t>원문위치</t>
  </si>
  <si>
    <t>원문링크</t>
  </si>
  <si>
    <t>파일명(→원문파일 시트)</t>
  </si>
  <si>
    <t>수록판</t>
  </si>
  <si>
    <t>확인일</t>
  </si>
  <si>
    <t>건설공사 표준품셈</t>
  </si>
  <si>
    <t>국토교통부 · 한국건설기술연구원</t>
  </si>
  <si>
    <t>연 1회(12월말 공고)</t>
  </si>
  <si>
    <t>CODIL &gt; 건설기준정보 &gt; 품셈·표준시장단가</t>
  </si>
  <si>
    <t>https://www.codil.or.kr/helpdesk/search.do?bbsId=BBSMSTR_900000000202&amp;bbsAttrbCode=BBSA01</t>
  </si>
  <si>
    <t>2026년 상반기</t>
  </si>
  <si>
    <t>사용중</t>
  </si>
  <si>
    <t>국도건설공사 설계실무요령</t>
  </si>
  <si>
    <t>국토교통부</t>
  </si>
  <si>
    <t>비정기</t>
  </si>
  <si>
    <t>국토교통부 발간자료</t>
  </si>
  <si>
    <t>https://www.molit.go.kr/USR/policyData/m_34681/dtl.jsp?id=4896</t>
  </si>
  <si>
    <t>2025.06</t>
  </si>
  <si>
    <t>ELE-STD</t>
  </si>
  <si>
    <t>전기공사 표준품셈</t>
  </si>
  <si>
    <t>대한전기협회</t>
  </si>
  <si>
    <t>전기</t>
  </si>
  <si>
    <t>연 1회</t>
  </si>
  <si>
    <t>대한전기협회 표준품셈</t>
  </si>
  <si>
    <t>https://sec.kea.kr</t>
  </si>
  <si>
    <t>확장예정</t>
  </si>
  <si>
    <t>ICT-STD</t>
  </si>
  <si>
    <t>정보통신공사 표준품셈</t>
  </si>
  <si>
    <t>한국정보통신산업연구원</t>
  </si>
  <si>
    <t>정보통신</t>
  </si>
  <si>
    <t>공공데이터포털 파일데이터</t>
  </si>
  <si>
    <t>https://www.data.go.kr/data/15059957/fileData.do</t>
  </si>
  <si>
    <t>ETC-KDS</t>
  </si>
  <si>
    <t>KDS·KCS 설계기준·표준시방서</t>
  </si>
  <si>
    <t>국가건설기준센터</t>
  </si>
  <si>
    <t>수시</t>
  </si>
  <si>
    <t>https://www.kcsc.re.kr</t>
  </si>
  <si>
    <t>LH 설계지침(토목)</t>
  </si>
  <si>
    <t>한국토지주택공사</t>
  </si>
  <si>
    <t>비정기(차수 개정)</t>
  </si>
  <si>
    <t>LH 설계기준 · 지침</t>
  </si>
  <si>
    <t>https://lh.or.kr/search.es?mid=a10813010000&amp;allKeyWord=%EC%84%A4%EA%B3%84%EC%A7%80%EC%B9%A8</t>
  </si>
  <si>
    <t>2026.04 개정(45차 이후)</t>
  </si>
  <si>
    <t>적용연도</t>
  </si>
  <si>
    <t>판</t>
  </si>
  <si>
    <t>파일명</t>
  </si>
  <si>
    <t>쪽수</t>
  </si>
  <si>
    <t>2024년 적용</t>
  </si>
  <si>
    <t>2024년_건설공사_표준품셈.pdf</t>
  </si>
  <si>
    <t>과년도</t>
  </si>
  <si>
    <t>2025년 적용</t>
  </si>
  <si>
    <t>2025년_건설공사_표준품셈.pdf</t>
  </si>
  <si>
    <t>2026년 적용</t>
  </si>
  <si>
    <t>2026년_건설공사_표준품셈.pdf</t>
  </si>
  <si>
    <t>현행</t>
  </si>
  <si>
    <t>2025.06.12</t>
  </si>
  <si>
    <t>250612_국도건설공사_설계실무_요령.pdf</t>
  </si>
  <si>
    <t>제3454호(2025.11.26. 45차 개정)</t>
  </si>
  <si>
    <t>LH설계지침토목-2025_11.pdf</t>
  </si>
  <si>
    <t>2026.04 개정</t>
  </si>
  <si>
    <t>LH설계지침토목-2026_04.pdf</t>
  </si>
  <si>
    <t>데이터 현황 (DB 시트 자동 집계)</t>
  </si>
  <si>
    <t>공종별</t>
  </si>
  <si>
    <t>건축</t>
  </si>
  <si>
    <t>분류별</t>
  </si>
  <si>
    <t>건수</t>
  </si>
  <si>
    <t>합계</t>
  </si>
  <si>
    <t>태그 입력된 행</t>
  </si>
  <si>
    <t>적용종료가 기입된 행(과년도)</t>
  </si>
  <si>
    <t>원문페이지가 기입된 행</t>
  </si>
  <si>
    <t>재료 할증률 마스터 — 작업 규칙</t>
  </si>
  <si>
    <t>이 파일이 원본입니다</t>
  </si>
  <si>
    <t>DB 시트만 고치면 convert.py가 data.json을 만들고 사이트가 갱신됩니다. 사이트 코드는 건드리지 않습니다.</t>
  </si>
  <si>
    <t>① 항목을 추가할 때</t>
  </si>
  <si>
    <t>DB 시트 마지막에 행 추가 → ID는 CV-분류코드-순번(중복 금지) → 상태는 작업 중이면 "초안"(사이트에 안 나옴), 끝나면 "검증완료".</t>
  </si>
  <si>
    <t>② 기준값이 바뀌었을 때</t>
  </si>
  <si>
    <t>기존 행의 적용종료에 직전 연도를 넣고, 같은 ID로 새 행을 추가해 적용시작에 새 연도를 넣습니다. 값을 덮어쓰지 마세요.</t>
  </si>
  <si>
    <t>③ 오타를 고칠 때</t>
  </si>
  <si>
    <t>그냥 덮어씁니다. 기준 변경이 아니므로 이력을 남기지 않습니다.</t>
  </si>
  <si>
    <t>④ 공종을 넓힐 때</t>
  </si>
  <si>
    <t>출처 시트에서 해당 출처의 상태를 "사용중"으로 바꾸고, DB 시트에 그 출처코드로 행을 추가합니다. ID 접두는 EL/IC/ET.</t>
  </si>
  <si>
    <t>공종 배정 기준(현재)</t>
  </si>
  <si>
    <t>해상·도로 전용 조항(토사·사석·속채움·노상노반·관기초)은 토목 전용, 표준품셈 공통편(콘크리트·강재류·기타재료)은 토목·건축 공통으로 넣어 두었습니다. 실무와 다르면 B열에서 바로 고치세요.</t>
  </si>
  <si>
    <t>원문 보기 · 내려받기</t>
  </si>
  <si>
    <t>CODIL에서 PDF를 받아 사이트 옆 docs/ 폴더에 넣고 python find_page.py 를 실행하면 원문페이지 열이 채워지고, 카드의 “원문 보기”가 해당 쪽으로 바로 엽니다. PDF는 재배포하지 말고 각자 내려받아 쓰세요.</t>
  </si>
  <si>
    <t>적용연도 현황</t>
  </si>
  <si>
    <t>현재 94건 모두 적용시작 2026 · 적용종료 공란입니다. 2024·2025년 원문을 확보하면 그 값으로 과년도 행을 추가하세요.</t>
  </si>
  <si>
    <t>예시 행 (형식 참고용, DB 시트에는 넣지 마세요)</t>
  </si>
  <si>
    <t>CV-STL-999</t>
  </si>
  <si>
    <t>철근, rebar, 이형</t>
  </si>
  <si>
    <t>예시</t>
  </si>
  <si>
    <t>필터매트</t>
    <phoneticPr fontId="12" type="noConversion"/>
  </si>
  <si>
    <t>수상</t>
    <phoneticPr fontId="12" type="noConversion"/>
  </si>
  <si>
    <t>수중</t>
    <phoneticPr fontId="12" type="noConversion"/>
  </si>
  <si>
    <t>CV-ETC-139</t>
  </si>
  <si>
    <t>CV-ETC-140</t>
    <phoneticPr fontId="12" type="noConversion"/>
  </si>
  <si>
    <t>5-2-1. 매트부설</t>
    <phoneticPr fontId="12" type="noConversion"/>
  </si>
  <si>
    <t>매트부설</t>
    <phoneticPr fontId="12" type="noConversion"/>
  </si>
  <si>
    <r>
      <t>2026</t>
    </r>
    <r>
      <rPr>
        <sz val="10"/>
        <rFont val="맑은 고딕"/>
        <family val="3"/>
        <charset val="129"/>
      </rPr>
      <t>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원문</t>
    </r>
    <r>
      <rPr>
        <sz val="10"/>
        <rFont val="Arial"/>
        <family val="2"/>
      </rPr>
      <t xml:space="preserve"> p109 </t>
    </r>
    <r>
      <rPr>
        <sz val="10"/>
        <rFont val="맑은 고딕"/>
        <family val="3"/>
        <charset val="129"/>
      </rPr>
      <t>대조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완료</t>
    </r>
    <phoneticPr fontId="12" type="noConversion"/>
  </si>
  <si>
    <t>CV-ETC-141</t>
    <phoneticPr fontId="12" type="noConversion"/>
  </si>
  <si>
    <t>쇄석</t>
    <phoneticPr fontId="12" type="noConversion"/>
  </si>
  <si>
    <t>지반(복토)</t>
    <phoneticPr fontId="12" type="noConversion"/>
  </si>
  <si>
    <t>부순돌</t>
    <phoneticPr fontId="12" type="noConversion"/>
  </si>
  <si>
    <t>CV-ETC-142</t>
    <phoneticPr fontId="12" type="noConversion"/>
  </si>
  <si>
    <t>PBD</t>
    <phoneticPr fontId="12" type="noConversion"/>
  </si>
  <si>
    <t>m</t>
    <phoneticPr fontId="12" type="noConversion"/>
  </si>
  <si>
    <r>
      <t xml:space="preserve">5-2-3 </t>
    </r>
    <r>
      <rPr>
        <sz val="10"/>
        <rFont val="맑은 고딕"/>
        <family val="2"/>
        <charset val="129"/>
      </rPr>
      <t>플라스틱</t>
    </r>
    <r>
      <rPr>
        <sz val="10"/>
        <rFont val="Arial"/>
        <family val="2"/>
        <charset val="1"/>
      </rPr>
      <t xml:space="preserve"> </t>
    </r>
    <r>
      <rPr>
        <sz val="10"/>
        <rFont val="맑은 고딕"/>
        <family val="2"/>
        <charset val="129"/>
      </rPr>
      <t>보드 드레인</t>
    </r>
    <phoneticPr fontId="12" type="noConversion"/>
  </si>
  <si>
    <t>드레인 보드</t>
    <phoneticPr fontId="12" type="noConversion"/>
  </si>
  <si>
    <t>지반(드레인보드)</t>
    <phoneticPr fontId="12" type="noConversion"/>
  </si>
  <si>
    <r>
      <t>2026</t>
    </r>
    <r>
      <rPr>
        <sz val="10"/>
        <rFont val="맑은 고딕"/>
        <family val="3"/>
        <charset val="129"/>
      </rPr>
      <t>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원문</t>
    </r>
    <r>
      <rPr>
        <sz val="10"/>
        <rFont val="Arial"/>
        <family val="2"/>
      </rPr>
      <t xml:space="preserve"> p113~114 </t>
    </r>
    <r>
      <rPr>
        <sz val="10"/>
        <rFont val="맑은 고딕"/>
        <family val="3"/>
        <charset val="129"/>
      </rPr>
      <t>대조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완료</t>
    </r>
    <phoneticPr fontId="12" type="noConversion"/>
  </si>
  <si>
    <r>
      <rPr>
        <sz val="10"/>
        <rFont val="맑은 고딕"/>
        <family val="3"/>
        <charset val="129"/>
      </rPr>
      <t>이형철근</t>
    </r>
    <r>
      <rPr>
        <sz val="10"/>
        <rFont val="Noto Sans CJK SC"/>
        <family val="2"/>
        <charset val="1"/>
      </rPr>
      <t>(일반)</t>
    </r>
    <phoneticPr fontId="12" type="noConversion"/>
  </si>
  <si>
    <r>
      <rPr>
        <sz val="10"/>
        <rFont val="맑은 고딕"/>
        <family val="3"/>
        <charset val="129"/>
      </rPr>
      <t>이형철근</t>
    </r>
    <r>
      <rPr>
        <sz val="10"/>
        <rFont val="Noto Sans CJK SC"/>
        <family val="2"/>
        <charset val="1"/>
      </rPr>
      <t>(복잡)</t>
    </r>
    <phoneticPr fontId="12" type="noConversion"/>
  </si>
  <si>
    <t>앵커</t>
    <phoneticPr fontId="12" type="noConversion"/>
  </si>
  <si>
    <t>지반(PBD용 앵커)</t>
    <phoneticPr fontId="12" type="noConversion"/>
  </si>
  <si>
    <t>ea</t>
    <phoneticPr fontId="12" type="noConversion"/>
  </si>
  <si>
    <t>CV-ETC-143</t>
    <phoneticPr fontId="12" type="noConversion"/>
  </si>
  <si>
    <t>LH-CIV</t>
    <phoneticPr fontId="12" type="noConversion"/>
  </si>
  <si>
    <t>표시순서</t>
    <phoneticPr fontId="12" type="noConversion"/>
  </si>
  <si>
    <r>
      <t xml:space="preserve">250612 </t>
    </r>
    <r>
      <rPr>
        <sz val="10"/>
        <rFont val="맑은 고딕"/>
        <family val="3"/>
        <charset val="129"/>
      </rPr>
      <t>국도건설공사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설계실무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요령</t>
    </r>
    <r>
      <rPr>
        <sz val="10"/>
        <rFont val="Arial"/>
        <family val="2"/>
      </rPr>
      <t xml:space="preserve">(2025.18) </t>
    </r>
    <r>
      <rPr>
        <sz val="10"/>
        <rFont val="맑은 고딕"/>
        <family val="3"/>
        <charset val="129"/>
      </rPr>
      <t>원문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완료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</si>
</sst>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color rgb="FFFFFFFF"/>
      <name val="Noto Sans CJK SC"/>
      <family val="2"/>
      <charset val="1"/>
    </font>
    <font>
      <sz val="10"/>
      <name val="Arial"/>
      <family val="2"/>
      <charset val="1"/>
    </font>
    <font>
      <sz val="10"/>
      <name val="Noto Sans CJK SC"/>
      <family val="2"/>
      <charset val="1"/>
    </font>
    <font>
      <sz val="10"/>
      <name val="Noto Sans CJK SC"/>
      <family val="2"/>
    </font>
    <font>
      <b/>
      <sz val="10"/>
      <color rgb="FFFFFFFF"/>
      <name val="Noto Sans CJK SC"/>
      <family val="2"/>
    </font>
    <font>
      <sz val="10"/>
      <name val="Arial"/>
      <family val="2"/>
    </font>
    <font>
      <b/>
      <sz val="12"/>
      <color rgb="FF14201E"/>
      <name val="Noto Sans CJK SC"/>
      <family val="2"/>
      <charset val="1"/>
    </font>
    <font>
      <b/>
      <sz val="10"/>
      <name val="Noto Sans CJK SC"/>
      <family val="2"/>
      <charset val="1"/>
    </font>
    <font>
      <b/>
      <sz val="13"/>
      <color rgb="FF14201E"/>
      <name val="Noto Sans CJK SC"/>
      <family val="2"/>
      <charset val="1"/>
    </font>
    <font>
      <b/>
      <sz val="9"/>
      <color rgb="FFFFFFFF"/>
      <name val="Noto Sans CJK SC"/>
      <family val="2"/>
      <charset val="1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2"/>
      <charset val="129"/>
    </font>
    <font>
      <sz val="10"/>
      <name val="Noto Sans CJK SC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2E4A46"/>
        <bgColor rgb="FF0F3C5A"/>
      </patternFill>
    </fill>
    <fill>
      <patternFill patternType="solid">
        <fgColor rgb="FFFFF7D6"/>
        <bgColor rgb="FFEFF4F7"/>
      </patternFill>
    </fill>
    <fill>
      <patternFill patternType="solid">
        <fgColor rgb="FF0F3C5A"/>
        <bgColor rgb="FF2E4A46"/>
      </patternFill>
    </fill>
    <fill>
      <patternFill patternType="solid">
        <fgColor rgb="FFEFF4F7"/>
        <bgColor rgb="FFFFFFFF"/>
      </patternFill>
    </fill>
  </fills>
  <borders count="3">
    <border>
      <left/>
      <right/>
      <top/>
      <bottom/>
      <diagonal/>
    </border>
    <border>
      <left style="thin">
        <color rgb="FFCDD2CB"/>
      </left>
      <right style="thin">
        <color rgb="FFCDD2CB"/>
      </right>
      <top style="thin">
        <color rgb="FFCDD2CB"/>
      </top>
      <bottom style="thin">
        <color rgb="FFCDD2CB"/>
      </bottom>
      <diagonal/>
    </border>
    <border>
      <left style="thin">
        <color rgb="FFC6D3DB"/>
      </left>
      <right style="thin">
        <color rgb="FFC6D3DB"/>
      </right>
      <top style="thin">
        <color rgb="FFC6D3DB"/>
      </top>
      <bottom style="thin">
        <color rgb="FFC6D3DB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1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8" fillId="0" borderId="0" xfId="0" applyFont="1"/>
    <xf numFmtId="0" fontId="9" fillId="0" borderId="0" xfId="0" applyFont="1"/>
    <xf numFmtId="0" fontId="4" fillId="0" borderId="0" xfId="0" applyFont="1"/>
    <xf numFmtId="0" fontId="10" fillId="0" borderId="0" xfId="0" applyFont="1"/>
    <xf numFmtId="0" fontId="3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1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13" fillId="3" borderId="1" xfId="0" applyFont="1" applyFill="1" applyBorder="1" applyAlignment="1">
      <alignment vertical="center"/>
    </xf>
    <xf numFmtId="0" fontId="14" fillId="3" borderId="1" xfId="0" applyFont="1" applyFill="1" applyBorder="1" applyAlignment="1">
      <alignment vertical="center"/>
    </xf>
    <xf numFmtId="14" fontId="3" fillId="3" borderId="1" xfId="0" applyNumberFormat="1" applyFont="1" applyFill="1" applyBorder="1" applyAlignment="1">
      <alignment vertical="center"/>
    </xf>
    <xf numFmtId="0" fontId="13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/>
    </xf>
    <xf numFmtId="0" fontId="15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DD2CB"/>
      <rgbColor rgb="FF808080"/>
      <rgbColor rgb="FF9999FF"/>
      <rgbColor rgb="FF993366"/>
      <rgbColor rgb="FFFFF7D6"/>
      <rgbColor rgb="FFEFF4F7"/>
      <rgbColor rgb="FF660066"/>
      <rgbColor rgb="FFFF8080"/>
      <rgbColor rgb="FF0066CC"/>
      <rgbColor rgb="FFC6D3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3C5A"/>
      <rgbColor rgb="FF339966"/>
      <rgbColor rgb="FF14201E"/>
      <rgbColor rgb="FF333300"/>
      <rgbColor rgb="FF993300"/>
      <rgbColor rgb="FF993366"/>
      <rgbColor rgb="FF333399"/>
      <rgbColor rgb="FF2E4A4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8"/>
  <sheetViews>
    <sheetView tabSelected="1" zoomScale="70" zoomScaleNormal="70" workbookViewId="0">
      <pane xSplit="3" ySplit="1" topLeftCell="D110" activePane="bottomRight" state="frozen"/>
      <selection pane="topRight" activeCell="D1" sqref="D1"/>
      <selection pane="bottomLeft" activeCell="A185" sqref="A185"/>
      <selection pane="bottomRight" activeCell="F131" sqref="F131"/>
    </sheetView>
  </sheetViews>
  <sheetFormatPr defaultColWidth="8.7109375" defaultRowHeight="15"/>
  <cols>
    <col min="1" max="1" width="14" customWidth="1"/>
    <col min="2" max="2" width="12" customWidth="1"/>
    <col min="3" max="3" width="13" customWidth="1"/>
    <col min="4" max="5" width="22" customWidth="1"/>
    <col min="6" max="6" width="33.7109375" customWidth="1"/>
    <col min="7" max="7" width="8" customWidth="1"/>
    <col min="8" max="9" width="9" customWidth="1"/>
    <col min="10" max="10" width="10" customWidth="1"/>
    <col min="11" max="11" width="24" customWidth="1"/>
    <col min="12" max="12" width="10" customWidth="1"/>
    <col min="13" max="14" width="9" customWidth="1"/>
    <col min="15" max="15" width="34" customWidth="1"/>
    <col min="16" max="16" width="16" customWidth="1"/>
    <col min="17" max="17" width="20" customWidth="1"/>
    <col min="18" max="18" width="8" customWidth="1"/>
    <col min="19" max="19" width="9" customWidth="1"/>
    <col min="20" max="20" width="10" customWidth="1"/>
    <col min="21" max="21" width="11" customWidth="1"/>
    <col min="22" max="22" width="136" style="35" customWidth="1"/>
  </cols>
  <sheetData>
    <row r="1" spans="1:22" ht="26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966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34" t="s">
        <v>20</v>
      </c>
    </row>
    <row r="2" spans="1:22" ht="29.25" customHeight="1">
      <c r="A2" s="3" t="s">
        <v>21</v>
      </c>
      <c r="B2" s="4" t="s">
        <v>22</v>
      </c>
      <c r="C2" s="4" t="s">
        <v>23</v>
      </c>
      <c r="D2" s="4" t="s">
        <v>24</v>
      </c>
      <c r="E2" s="4">
        <v>1</v>
      </c>
      <c r="F2" s="5" t="s">
        <v>25</v>
      </c>
      <c r="G2" s="4" t="s">
        <v>26</v>
      </c>
      <c r="H2" s="3">
        <v>2</v>
      </c>
      <c r="I2" s="3">
        <v>2</v>
      </c>
      <c r="J2" s="3" t="s">
        <v>27</v>
      </c>
      <c r="K2" s="3" t="s">
        <v>28</v>
      </c>
      <c r="L2" s="6">
        <v>78</v>
      </c>
      <c r="M2" s="6">
        <v>2026</v>
      </c>
      <c r="N2" s="6"/>
      <c r="O2" s="5" t="s">
        <v>29</v>
      </c>
      <c r="P2" s="5"/>
      <c r="Q2" s="4" t="s">
        <v>30</v>
      </c>
      <c r="R2" s="4" t="s">
        <v>31</v>
      </c>
      <c r="S2" s="3" t="s">
        <v>32</v>
      </c>
      <c r="T2" s="4" t="s">
        <v>33</v>
      </c>
      <c r="U2" s="3" t="s">
        <v>34</v>
      </c>
      <c r="V2" s="4" t="s">
        <v>35</v>
      </c>
    </row>
    <row r="3" spans="1:22" ht="29.25" customHeight="1">
      <c r="A3" s="3" t="s">
        <v>36</v>
      </c>
      <c r="B3" s="4" t="s">
        <v>22</v>
      </c>
      <c r="C3" s="4" t="s">
        <v>23</v>
      </c>
      <c r="D3" s="4" t="s">
        <v>24</v>
      </c>
      <c r="E3" s="4">
        <v>2</v>
      </c>
      <c r="F3" s="5" t="s">
        <v>37</v>
      </c>
      <c r="G3" s="4" t="s">
        <v>26</v>
      </c>
      <c r="H3" s="3">
        <v>1</v>
      </c>
      <c r="I3" s="3">
        <v>1</v>
      </c>
      <c r="J3" s="3" t="s">
        <v>27</v>
      </c>
      <c r="K3" s="3" t="s">
        <v>28</v>
      </c>
      <c r="L3" s="6">
        <v>78</v>
      </c>
      <c r="M3" s="6">
        <v>2026</v>
      </c>
      <c r="N3" s="6"/>
      <c r="O3" s="5" t="s">
        <v>38</v>
      </c>
      <c r="P3" s="5"/>
      <c r="Q3" s="4" t="s">
        <v>30</v>
      </c>
      <c r="R3" s="4" t="s">
        <v>31</v>
      </c>
      <c r="S3" s="3" t="s">
        <v>32</v>
      </c>
      <c r="T3" s="4" t="s">
        <v>33</v>
      </c>
      <c r="U3" s="3" t="s">
        <v>34</v>
      </c>
      <c r="V3" s="4" t="s">
        <v>35</v>
      </c>
    </row>
    <row r="4" spans="1:22" ht="29.25" customHeight="1">
      <c r="A4" s="3" t="s">
        <v>39</v>
      </c>
      <c r="B4" s="4" t="s">
        <v>22</v>
      </c>
      <c r="C4" s="4" t="s">
        <v>23</v>
      </c>
      <c r="D4" s="4" t="s">
        <v>24</v>
      </c>
      <c r="E4" s="4"/>
      <c r="F4" s="5" t="s">
        <v>40</v>
      </c>
      <c r="G4" s="4" t="s">
        <v>26</v>
      </c>
      <c r="H4" s="3">
        <v>4</v>
      </c>
      <c r="I4" s="3">
        <v>4</v>
      </c>
      <c r="J4" s="3" t="s">
        <v>27</v>
      </c>
      <c r="K4" s="3" t="s">
        <v>28</v>
      </c>
      <c r="L4" s="6">
        <v>78</v>
      </c>
      <c r="M4" s="6">
        <v>2026</v>
      </c>
      <c r="N4" s="6"/>
      <c r="O4" s="5" t="s">
        <v>41</v>
      </c>
      <c r="P4" s="5"/>
      <c r="Q4" s="4" t="s">
        <v>30</v>
      </c>
      <c r="R4" s="4" t="s">
        <v>31</v>
      </c>
      <c r="S4" s="3" t="s">
        <v>32</v>
      </c>
      <c r="T4" s="4" t="s">
        <v>33</v>
      </c>
      <c r="U4" s="3" t="s">
        <v>34</v>
      </c>
      <c r="V4" s="4" t="s">
        <v>35</v>
      </c>
    </row>
    <row r="5" spans="1:22" ht="29.25" customHeight="1">
      <c r="A5" s="3" t="s">
        <v>42</v>
      </c>
      <c r="B5" s="4" t="s">
        <v>22</v>
      </c>
      <c r="C5" s="4" t="s">
        <v>23</v>
      </c>
      <c r="D5" s="4" t="s">
        <v>43</v>
      </c>
      <c r="E5" s="4"/>
      <c r="F5" s="5" t="s">
        <v>40</v>
      </c>
      <c r="G5" s="3" t="s">
        <v>44</v>
      </c>
      <c r="H5" s="3">
        <v>2</v>
      </c>
      <c r="I5" s="3">
        <v>2</v>
      </c>
      <c r="J5" s="3" t="s">
        <v>27</v>
      </c>
      <c r="K5" s="3" t="s">
        <v>28</v>
      </c>
      <c r="L5" s="6">
        <v>78</v>
      </c>
      <c r="M5" s="6">
        <v>2026</v>
      </c>
      <c r="N5" s="6"/>
      <c r="O5" s="5" t="s">
        <v>45</v>
      </c>
      <c r="P5" s="5"/>
      <c r="Q5" s="3"/>
      <c r="R5" s="4" t="s">
        <v>31</v>
      </c>
      <c r="S5" s="3" t="s">
        <v>32</v>
      </c>
      <c r="T5" s="4" t="s">
        <v>33</v>
      </c>
      <c r="U5" s="3" t="s">
        <v>34</v>
      </c>
      <c r="V5" s="4" t="s">
        <v>35</v>
      </c>
    </row>
    <row r="6" spans="1:22" ht="29.25" customHeight="1">
      <c r="A6" s="3" t="s">
        <v>46</v>
      </c>
      <c r="B6" s="4" t="s">
        <v>22</v>
      </c>
      <c r="C6" s="4" t="s">
        <v>47</v>
      </c>
      <c r="D6" s="4" t="s">
        <v>48</v>
      </c>
      <c r="E6" s="4"/>
      <c r="F6" s="5" t="s">
        <v>49</v>
      </c>
      <c r="G6" s="3" t="s">
        <v>50</v>
      </c>
      <c r="H6" s="3">
        <v>2</v>
      </c>
      <c r="I6" s="3">
        <v>2</v>
      </c>
      <c r="J6" s="3" t="s">
        <v>27</v>
      </c>
      <c r="K6" s="3" t="s">
        <v>51</v>
      </c>
      <c r="L6" s="6">
        <v>76</v>
      </c>
      <c r="M6" s="6">
        <v>2026</v>
      </c>
      <c r="N6" s="6"/>
      <c r="O6" s="5" t="s">
        <v>48</v>
      </c>
      <c r="P6" s="5"/>
      <c r="Q6" s="3"/>
      <c r="R6" s="4" t="s">
        <v>31</v>
      </c>
      <c r="S6" s="3" t="s">
        <v>32</v>
      </c>
      <c r="T6" s="4" t="s">
        <v>33</v>
      </c>
      <c r="U6" s="3" t="s">
        <v>34</v>
      </c>
      <c r="V6" s="4" t="s">
        <v>52</v>
      </c>
    </row>
    <row r="7" spans="1:22" ht="29.25" customHeight="1">
      <c r="A7" s="3" t="s">
        <v>53</v>
      </c>
      <c r="B7" s="4" t="s">
        <v>22</v>
      </c>
      <c r="C7" s="4" t="s">
        <v>47</v>
      </c>
      <c r="D7" s="4" t="s">
        <v>54</v>
      </c>
      <c r="E7" s="4"/>
      <c r="F7" s="5" t="s">
        <v>49</v>
      </c>
      <c r="G7" s="4" t="s">
        <v>26</v>
      </c>
      <c r="H7" s="3">
        <v>10</v>
      </c>
      <c r="I7" s="3">
        <v>10</v>
      </c>
      <c r="J7" s="3" t="s">
        <v>27</v>
      </c>
      <c r="K7" s="3" t="s">
        <v>51</v>
      </c>
      <c r="L7" s="6">
        <v>76</v>
      </c>
      <c r="M7" s="6">
        <v>2026</v>
      </c>
      <c r="N7" s="6"/>
      <c r="O7" s="5" t="s">
        <v>54</v>
      </c>
      <c r="P7" s="5"/>
      <c r="Q7" s="3"/>
      <c r="R7" s="4" t="s">
        <v>55</v>
      </c>
      <c r="S7" s="3" t="s">
        <v>32</v>
      </c>
      <c r="T7" s="4" t="s">
        <v>33</v>
      </c>
      <c r="U7" s="3" t="s">
        <v>34</v>
      </c>
      <c r="V7" s="4" t="s">
        <v>52</v>
      </c>
    </row>
    <row r="8" spans="1:22" ht="29.25" customHeight="1">
      <c r="A8" s="3" t="s">
        <v>56</v>
      </c>
      <c r="B8" s="4" t="s">
        <v>22</v>
      </c>
      <c r="C8" s="4" t="s">
        <v>47</v>
      </c>
      <c r="D8" s="4" t="s">
        <v>57</v>
      </c>
      <c r="E8" s="4"/>
      <c r="F8" s="5" t="s">
        <v>49</v>
      </c>
      <c r="G8" s="4" t="s">
        <v>26</v>
      </c>
      <c r="H8" s="3">
        <v>3</v>
      </c>
      <c r="I8" s="3">
        <v>3</v>
      </c>
      <c r="J8" s="3" t="s">
        <v>27</v>
      </c>
      <c r="K8" s="3" t="s">
        <v>51</v>
      </c>
      <c r="L8" s="6">
        <v>76</v>
      </c>
      <c r="M8" s="6">
        <v>2026</v>
      </c>
      <c r="N8" s="6"/>
      <c r="O8" s="5" t="s">
        <v>57</v>
      </c>
      <c r="P8" s="5"/>
      <c r="Q8" s="3"/>
      <c r="R8" s="4" t="s">
        <v>55</v>
      </c>
      <c r="S8" s="3" t="s">
        <v>32</v>
      </c>
      <c r="T8" s="4" t="s">
        <v>33</v>
      </c>
      <c r="U8" s="3" t="s">
        <v>34</v>
      </c>
      <c r="V8" s="4" t="s">
        <v>52</v>
      </c>
    </row>
    <row r="9" spans="1:22" ht="29.25" customHeight="1">
      <c r="A9" s="3" t="s">
        <v>58</v>
      </c>
      <c r="B9" s="4" t="s">
        <v>22</v>
      </c>
      <c r="C9" s="4" t="s">
        <v>47</v>
      </c>
      <c r="D9" s="4" t="s">
        <v>43</v>
      </c>
      <c r="E9" s="4"/>
      <c r="F9" s="5" t="s">
        <v>49</v>
      </c>
      <c r="G9" s="3" t="s">
        <v>44</v>
      </c>
      <c r="H9" s="3">
        <v>2</v>
      </c>
      <c r="I9" s="3">
        <v>2</v>
      </c>
      <c r="J9" s="3" t="s">
        <v>27</v>
      </c>
      <c r="K9" s="3" t="s">
        <v>51</v>
      </c>
      <c r="L9" s="6">
        <v>76</v>
      </c>
      <c r="M9" s="6">
        <v>2026</v>
      </c>
      <c r="N9" s="6"/>
      <c r="O9" s="5" t="s">
        <v>43</v>
      </c>
      <c r="P9" s="5"/>
      <c r="Q9" s="3"/>
      <c r="R9" s="4" t="s">
        <v>31</v>
      </c>
      <c r="S9" s="3" t="s">
        <v>32</v>
      </c>
      <c r="T9" s="4" t="s">
        <v>33</v>
      </c>
      <c r="U9" s="3" t="s">
        <v>34</v>
      </c>
      <c r="V9" s="4" t="s">
        <v>52</v>
      </c>
    </row>
    <row r="10" spans="1:22" ht="29.25" customHeight="1">
      <c r="A10" s="3" t="s">
        <v>59</v>
      </c>
      <c r="B10" s="4" t="s">
        <v>22</v>
      </c>
      <c r="C10" s="4" t="s">
        <v>47</v>
      </c>
      <c r="D10" s="4" t="s">
        <v>60</v>
      </c>
      <c r="E10" s="4"/>
      <c r="F10" s="5" t="s">
        <v>49</v>
      </c>
      <c r="G10" s="4" t="s">
        <v>26</v>
      </c>
      <c r="H10" s="3">
        <v>2</v>
      </c>
      <c r="I10" s="3">
        <v>2</v>
      </c>
      <c r="J10" s="3" t="s">
        <v>27</v>
      </c>
      <c r="K10" s="3" t="s">
        <v>51</v>
      </c>
      <c r="L10" s="6">
        <v>76</v>
      </c>
      <c r="M10" s="6">
        <v>2026</v>
      </c>
      <c r="N10" s="6"/>
      <c r="O10" s="5" t="s">
        <v>60</v>
      </c>
      <c r="P10" s="5"/>
      <c r="Q10" s="3"/>
      <c r="R10" s="4" t="s">
        <v>55</v>
      </c>
      <c r="S10" s="3" t="s">
        <v>32</v>
      </c>
      <c r="T10" s="4" t="s">
        <v>33</v>
      </c>
      <c r="U10" s="3" t="s">
        <v>34</v>
      </c>
      <c r="V10" s="4" t="s">
        <v>52</v>
      </c>
    </row>
    <row r="11" spans="1:22" ht="29.25" customHeight="1">
      <c r="A11" s="3" t="s">
        <v>61</v>
      </c>
      <c r="B11" s="4" t="s">
        <v>22</v>
      </c>
      <c r="C11" s="4" t="s">
        <v>47</v>
      </c>
      <c r="D11" s="4" t="s">
        <v>62</v>
      </c>
      <c r="E11" s="4"/>
      <c r="F11" s="5" t="s">
        <v>49</v>
      </c>
      <c r="G11" s="3" t="s">
        <v>50</v>
      </c>
      <c r="H11" s="3">
        <v>2</v>
      </c>
      <c r="I11" s="3">
        <v>2</v>
      </c>
      <c r="J11" s="3" t="s">
        <v>27</v>
      </c>
      <c r="K11" s="3" t="s">
        <v>51</v>
      </c>
      <c r="L11" s="6">
        <v>76</v>
      </c>
      <c r="M11" s="6">
        <v>2026</v>
      </c>
      <c r="N11" s="6"/>
      <c r="O11" s="5" t="s">
        <v>62</v>
      </c>
      <c r="P11" s="5"/>
      <c r="Q11" s="3"/>
      <c r="R11" s="4" t="s">
        <v>55</v>
      </c>
      <c r="S11" s="3" t="s">
        <v>32</v>
      </c>
      <c r="T11" s="4" t="s">
        <v>33</v>
      </c>
      <c r="U11" s="3" t="s">
        <v>34</v>
      </c>
      <c r="V11" s="4" t="s">
        <v>52</v>
      </c>
    </row>
    <row r="12" spans="1:22" ht="29.25" customHeight="1">
      <c r="A12" s="3" t="s">
        <v>63</v>
      </c>
      <c r="B12" s="4" t="s">
        <v>22</v>
      </c>
      <c r="C12" s="4" t="s">
        <v>47</v>
      </c>
      <c r="D12" s="4" t="s">
        <v>48</v>
      </c>
      <c r="E12" s="4"/>
      <c r="F12" s="5" t="s">
        <v>64</v>
      </c>
      <c r="G12" s="3" t="s">
        <v>50</v>
      </c>
      <c r="H12" s="3">
        <v>3</v>
      </c>
      <c r="I12" s="3">
        <v>3</v>
      </c>
      <c r="J12" s="3" t="s">
        <v>27</v>
      </c>
      <c r="K12" s="3" t="s">
        <v>51</v>
      </c>
      <c r="L12" s="6">
        <v>76</v>
      </c>
      <c r="M12" s="6">
        <v>2026</v>
      </c>
      <c r="N12" s="6"/>
      <c r="O12" s="5" t="s">
        <v>48</v>
      </c>
      <c r="P12" s="5"/>
      <c r="Q12" s="3"/>
      <c r="R12" s="4" t="s">
        <v>31</v>
      </c>
      <c r="S12" s="3" t="s">
        <v>32</v>
      </c>
      <c r="T12" s="4" t="s">
        <v>33</v>
      </c>
      <c r="U12" s="3" t="s">
        <v>34</v>
      </c>
      <c r="V12" s="4" t="s">
        <v>52</v>
      </c>
    </row>
    <row r="13" spans="1:22" ht="29.25" customHeight="1">
      <c r="A13" s="3" t="s">
        <v>65</v>
      </c>
      <c r="B13" s="4" t="s">
        <v>22</v>
      </c>
      <c r="C13" s="4" t="s">
        <v>47</v>
      </c>
      <c r="D13" s="4" t="s">
        <v>54</v>
      </c>
      <c r="E13" s="4"/>
      <c r="F13" s="5" t="s">
        <v>64</v>
      </c>
      <c r="G13" s="4" t="s">
        <v>26</v>
      </c>
      <c r="H13" s="3">
        <v>12</v>
      </c>
      <c r="I13" s="3">
        <v>12</v>
      </c>
      <c r="J13" s="3" t="s">
        <v>27</v>
      </c>
      <c r="K13" s="3" t="s">
        <v>51</v>
      </c>
      <c r="L13" s="6">
        <v>76</v>
      </c>
      <c r="M13" s="6">
        <v>2026</v>
      </c>
      <c r="N13" s="6"/>
      <c r="O13" s="5" t="s">
        <v>54</v>
      </c>
      <c r="P13" s="5"/>
      <c r="Q13" s="3"/>
      <c r="R13" s="4" t="s">
        <v>55</v>
      </c>
      <c r="S13" s="3" t="s">
        <v>32</v>
      </c>
      <c r="T13" s="4" t="s">
        <v>33</v>
      </c>
      <c r="U13" s="3" t="s">
        <v>34</v>
      </c>
      <c r="V13" s="4" t="s">
        <v>52</v>
      </c>
    </row>
    <row r="14" spans="1:22" ht="29.25" customHeight="1">
      <c r="A14" s="3" t="s">
        <v>66</v>
      </c>
      <c r="B14" s="4" t="s">
        <v>22</v>
      </c>
      <c r="C14" s="4" t="s">
        <v>47</v>
      </c>
      <c r="D14" s="4" t="s">
        <v>57</v>
      </c>
      <c r="E14" s="4"/>
      <c r="F14" s="5" t="s">
        <v>64</v>
      </c>
      <c r="G14" s="4" t="s">
        <v>26</v>
      </c>
      <c r="H14" s="3">
        <v>5</v>
      </c>
      <c r="I14" s="3">
        <v>5</v>
      </c>
      <c r="J14" s="3" t="s">
        <v>27</v>
      </c>
      <c r="K14" s="3" t="s">
        <v>51</v>
      </c>
      <c r="L14" s="6">
        <v>76</v>
      </c>
      <c r="M14" s="6">
        <v>2026</v>
      </c>
      <c r="N14" s="6"/>
      <c r="O14" s="5" t="s">
        <v>57</v>
      </c>
      <c r="P14" s="5"/>
      <c r="Q14" s="3"/>
      <c r="R14" s="4" t="s">
        <v>55</v>
      </c>
      <c r="S14" s="3" t="s">
        <v>32</v>
      </c>
      <c r="T14" s="4" t="s">
        <v>33</v>
      </c>
      <c r="U14" s="3" t="s">
        <v>34</v>
      </c>
      <c r="V14" s="4" t="s">
        <v>52</v>
      </c>
    </row>
    <row r="15" spans="1:22" ht="29.25" customHeight="1">
      <c r="A15" s="3" t="s">
        <v>67</v>
      </c>
      <c r="B15" s="4" t="s">
        <v>22</v>
      </c>
      <c r="C15" s="4" t="s">
        <v>47</v>
      </c>
      <c r="D15" s="4" t="s">
        <v>43</v>
      </c>
      <c r="E15" s="4"/>
      <c r="F15" s="5" t="s">
        <v>64</v>
      </c>
      <c r="G15" s="3" t="s">
        <v>44</v>
      </c>
      <c r="H15" s="3">
        <v>3</v>
      </c>
      <c r="I15" s="3">
        <v>3</v>
      </c>
      <c r="J15" s="3" t="s">
        <v>27</v>
      </c>
      <c r="K15" s="3" t="s">
        <v>51</v>
      </c>
      <c r="L15" s="6">
        <v>76</v>
      </c>
      <c r="M15" s="6">
        <v>2026</v>
      </c>
      <c r="N15" s="6"/>
      <c r="O15" s="5" t="s">
        <v>43</v>
      </c>
      <c r="P15" s="5"/>
      <c r="Q15" s="3"/>
      <c r="R15" s="4" t="s">
        <v>31</v>
      </c>
      <c r="S15" s="3" t="s">
        <v>32</v>
      </c>
      <c r="T15" s="4" t="s">
        <v>33</v>
      </c>
      <c r="U15" s="3" t="s">
        <v>34</v>
      </c>
      <c r="V15" s="4" t="s">
        <v>52</v>
      </c>
    </row>
    <row r="16" spans="1:22" ht="29.25" customHeight="1">
      <c r="A16" s="3" t="s">
        <v>68</v>
      </c>
      <c r="B16" s="4" t="s">
        <v>22</v>
      </c>
      <c r="C16" s="4" t="s">
        <v>47</v>
      </c>
      <c r="D16" s="4" t="s">
        <v>60</v>
      </c>
      <c r="E16" s="4"/>
      <c r="F16" s="5" t="s">
        <v>64</v>
      </c>
      <c r="G16" s="4" t="s">
        <v>26</v>
      </c>
      <c r="H16" s="3">
        <v>3</v>
      </c>
      <c r="I16" s="3">
        <v>3</v>
      </c>
      <c r="J16" s="3" t="s">
        <v>27</v>
      </c>
      <c r="K16" s="3" t="s">
        <v>51</v>
      </c>
      <c r="L16" s="6">
        <v>76</v>
      </c>
      <c r="M16" s="6">
        <v>2026</v>
      </c>
      <c r="N16" s="6"/>
      <c r="O16" s="5" t="s">
        <v>60</v>
      </c>
      <c r="P16" s="5"/>
      <c r="Q16" s="3"/>
      <c r="R16" s="4" t="s">
        <v>55</v>
      </c>
      <c r="S16" s="3" t="s">
        <v>32</v>
      </c>
      <c r="T16" s="4" t="s">
        <v>33</v>
      </c>
      <c r="U16" s="3" t="s">
        <v>34</v>
      </c>
      <c r="V16" s="4" t="s">
        <v>52</v>
      </c>
    </row>
    <row r="17" spans="1:22" ht="29.25" customHeight="1">
      <c r="A17" s="3" t="s">
        <v>69</v>
      </c>
      <c r="B17" s="4" t="s">
        <v>22</v>
      </c>
      <c r="C17" s="4" t="s">
        <v>47</v>
      </c>
      <c r="D17" s="4" t="s">
        <v>62</v>
      </c>
      <c r="E17" s="4"/>
      <c r="F17" s="5" t="s">
        <v>64</v>
      </c>
      <c r="G17" s="3" t="s">
        <v>50</v>
      </c>
      <c r="H17" s="3">
        <v>2</v>
      </c>
      <c r="I17" s="3">
        <v>2</v>
      </c>
      <c r="J17" s="3" t="s">
        <v>27</v>
      </c>
      <c r="K17" s="3" t="s">
        <v>51</v>
      </c>
      <c r="L17" s="6">
        <v>76</v>
      </c>
      <c r="M17" s="6">
        <v>2026</v>
      </c>
      <c r="N17" s="6"/>
      <c r="O17" s="5" t="s">
        <v>62</v>
      </c>
      <c r="P17" s="5"/>
      <c r="Q17" s="3"/>
      <c r="R17" s="4" t="s">
        <v>55</v>
      </c>
      <c r="S17" s="3" t="s">
        <v>32</v>
      </c>
      <c r="T17" s="4" t="s">
        <v>33</v>
      </c>
      <c r="U17" s="3" t="s">
        <v>34</v>
      </c>
      <c r="V17" s="4" t="s">
        <v>71</v>
      </c>
    </row>
    <row r="18" spans="1:22" ht="29.25" customHeight="1">
      <c r="A18" s="3" t="s">
        <v>72</v>
      </c>
      <c r="B18" s="4" t="s">
        <v>73</v>
      </c>
      <c r="C18" s="4" t="s">
        <v>74</v>
      </c>
      <c r="D18" s="4" t="s">
        <v>75</v>
      </c>
      <c r="E18" s="4"/>
      <c r="F18" s="5" t="s">
        <v>76</v>
      </c>
      <c r="G18" s="4" t="s">
        <v>26</v>
      </c>
      <c r="H18" s="3">
        <v>6</v>
      </c>
      <c r="I18" s="3">
        <v>6</v>
      </c>
      <c r="J18" s="3" t="s">
        <v>27</v>
      </c>
      <c r="K18" s="3" t="s">
        <v>77</v>
      </c>
      <c r="L18" s="6">
        <v>76</v>
      </c>
      <c r="M18" s="6">
        <v>2026</v>
      </c>
      <c r="N18" s="6"/>
      <c r="O18" s="5" t="s">
        <v>75</v>
      </c>
      <c r="P18" s="5"/>
      <c r="Q18" s="3"/>
      <c r="R18" s="4" t="s">
        <v>31</v>
      </c>
      <c r="S18" s="3" t="s">
        <v>32</v>
      </c>
      <c r="T18" s="4" t="s">
        <v>33</v>
      </c>
      <c r="U18" s="3" t="s">
        <v>34</v>
      </c>
      <c r="V18" s="4" t="s">
        <v>35</v>
      </c>
    </row>
    <row r="19" spans="1:22" ht="29.25" customHeight="1">
      <c r="A19" s="3" t="s">
        <v>78</v>
      </c>
      <c r="B19" s="4" t="s">
        <v>73</v>
      </c>
      <c r="C19" s="4" t="s">
        <v>74</v>
      </c>
      <c r="D19" s="4" t="s">
        <v>79</v>
      </c>
      <c r="E19" s="4"/>
      <c r="F19" s="5" t="s">
        <v>76</v>
      </c>
      <c r="G19" s="4" t="s">
        <v>26</v>
      </c>
      <c r="H19" s="3">
        <v>4</v>
      </c>
      <c r="I19" s="3">
        <v>4</v>
      </c>
      <c r="J19" s="3" t="s">
        <v>27</v>
      </c>
      <c r="K19" s="3" t="s">
        <v>77</v>
      </c>
      <c r="L19" s="6">
        <v>76</v>
      </c>
      <c r="M19" s="6">
        <v>2026</v>
      </c>
      <c r="N19" s="6"/>
      <c r="O19" s="5" t="s">
        <v>79</v>
      </c>
      <c r="P19" s="5"/>
      <c r="Q19" s="3"/>
      <c r="R19" s="4" t="s">
        <v>55</v>
      </c>
      <c r="S19" s="3" t="s">
        <v>32</v>
      </c>
      <c r="T19" s="4" t="s">
        <v>33</v>
      </c>
      <c r="U19" s="3" t="s">
        <v>34</v>
      </c>
      <c r="V19" s="4" t="s">
        <v>35</v>
      </c>
    </row>
    <row r="20" spans="1:22" ht="29.25" customHeight="1">
      <c r="A20" s="3" t="s">
        <v>80</v>
      </c>
      <c r="B20" s="4" t="s">
        <v>73</v>
      </c>
      <c r="C20" s="4" t="s">
        <v>74</v>
      </c>
      <c r="D20" s="4" t="s">
        <v>81</v>
      </c>
      <c r="E20" s="4"/>
      <c r="F20" s="5" t="s">
        <v>76</v>
      </c>
      <c r="G20" s="4" t="s">
        <v>26</v>
      </c>
      <c r="H20" s="3">
        <v>4</v>
      </c>
      <c r="I20" s="3">
        <v>4</v>
      </c>
      <c r="J20" s="3" t="s">
        <v>27</v>
      </c>
      <c r="K20" s="3" t="s">
        <v>77</v>
      </c>
      <c r="L20" s="6">
        <v>76</v>
      </c>
      <c r="M20" s="6">
        <v>2026</v>
      </c>
      <c r="N20" s="6"/>
      <c r="O20" s="5" t="s">
        <v>81</v>
      </c>
      <c r="P20" s="5"/>
      <c r="Q20" s="3"/>
      <c r="R20" s="4" t="s">
        <v>55</v>
      </c>
      <c r="S20" s="3" t="s">
        <v>32</v>
      </c>
      <c r="T20" s="4" t="s">
        <v>33</v>
      </c>
      <c r="U20" s="3" t="s">
        <v>34</v>
      </c>
      <c r="V20" s="4" t="s">
        <v>35</v>
      </c>
    </row>
    <row r="21" spans="1:22" ht="29.25" customHeight="1">
      <c r="A21" s="3" t="s">
        <v>82</v>
      </c>
      <c r="B21" s="4" t="s">
        <v>73</v>
      </c>
      <c r="C21" s="4" t="s">
        <v>74</v>
      </c>
      <c r="D21" s="4" t="s">
        <v>83</v>
      </c>
      <c r="E21" s="4"/>
      <c r="F21" s="5" t="s">
        <v>76</v>
      </c>
      <c r="G21" s="4" t="s">
        <v>26</v>
      </c>
      <c r="H21" s="3">
        <v>4</v>
      </c>
      <c r="I21" s="3">
        <v>4</v>
      </c>
      <c r="J21" s="3" t="s">
        <v>27</v>
      </c>
      <c r="K21" s="3" t="s">
        <v>77</v>
      </c>
      <c r="L21" s="6">
        <v>76</v>
      </c>
      <c r="M21" s="6">
        <v>2026</v>
      </c>
      <c r="N21" s="6"/>
      <c r="O21" s="5" t="s">
        <v>83</v>
      </c>
      <c r="P21" s="5"/>
      <c r="Q21" s="3"/>
      <c r="R21" s="4" t="s">
        <v>55</v>
      </c>
      <c r="S21" s="3" t="s">
        <v>32</v>
      </c>
      <c r="T21" s="4" t="s">
        <v>33</v>
      </c>
      <c r="U21" s="3" t="s">
        <v>34</v>
      </c>
      <c r="V21" s="4" t="s">
        <v>35</v>
      </c>
    </row>
    <row r="22" spans="1:22" ht="29.25" customHeight="1">
      <c r="A22" s="3" t="s">
        <v>84</v>
      </c>
      <c r="B22" s="4" t="s">
        <v>73</v>
      </c>
      <c r="C22" s="4" t="s">
        <v>74</v>
      </c>
      <c r="D22" s="4" t="s">
        <v>85</v>
      </c>
      <c r="E22" s="4"/>
      <c r="F22" s="5" t="s">
        <v>76</v>
      </c>
      <c r="G22" s="4" t="s">
        <v>26</v>
      </c>
      <c r="H22" s="3">
        <v>6</v>
      </c>
      <c r="I22" s="3">
        <v>6</v>
      </c>
      <c r="J22" s="3" t="s">
        <v>27</v>
      </c>
      <c r="K22" s="3" t="s">
        <v>77</v>
      </c>
      <c r="L22" s="6">
        <v>76</v>
      </c>
      <c r="M22" s="6">
        <v>2026</v>
      </c>
      <c r="N22" s="6"/>
      <c r="O22" s="5" t="s">
        <v>85</v>
      </c>
      <c r="P22" s="5"/>
      <c r="Q22" s="3"/>
      <c r="R22" s="4" t="s">
        <v>55</v>
      </c>
      <c r="S22" s="3" t="s">
        <v>32</v>
      </c>
      <c r="T22" s="4" t="s">
        <v>33</v>
      </c>
      <c r="U22" s="3" t="s">
        <v>34</v>
      </c>
      <c r="V22" s="4" t="s">
        <v>35</v>
      </c>
    </row>
    <row r="23" spans="1:22" ht="29.25" customHeight="1">
      <c r="A23" s="3" t="s">
        <v>86</v>
      </c>
      <c r="B23" s="4" t="s">
        <v>73</v>
      </c>
      <c r="C23" s="4" t="s">
        <v>87</v>
      </c>
      <c r="D23" s="4" t="s">
        <v>75</v>
      </c>
      <c r="E23" s="4"/>
      <c r="F23" s="5" t="s">
        <v>88</v>
      </c>
      <c r="G23" s="4" t="s">
        <v>26</v>
      </c>
      <c r="H23" s="3">
        <v>4</v>
      </c>
      <c r="I23" s="3">
        <v>4</v>
      </c>
      <c r="J23" s="3" t="s">
        <v>27</v>
      </c>
      <c r="K23" s="3" t="s">
        <v>89</v>
      </c>
      <c r="L23" s="6">
        <v>76</v>
      </c>
      <c r="M23" s="6">
        <v>2026</v>
      </c>
      <c r="N23" s="6"/>
      <c r="O23" s="5" t="s">
        <v>75</v>
      </c>
      <c r="P23" s="5"/>
      <c r="Q23" s="3"/>
      <c r="R23" s="4" t="s">
        <v>31</v>
      </c>
      <c r="S23" s="3" t="s">
        <v>32</v>
      </c>
      <c r="T23" s="4" t="s">
        <v>33</v>
      </c>
      <c r="U23" s="3" t="s">
        <v>34</v>
      </c>
      <c r="V23" s="4" t="s">
        <v>35</v>
      </c>
    </row>
    <row r="24" spans="1:22" ht="29.25" customHeight="1">
      <c r="A24" s="3" t="s">
        <v>90</v>
      </c>
      <c r="B24" s="4" t="s">
        <v>73</v>
      </c>
      <c r="C24" s="4" t="s">
        <v>91</v>
      </c>
      <c r="D24" s="4" t="s">
        <v>92</v>
      </c>
      <c r="E24" s="4"/>
      <c r="F24" s="5" t="s">
        <v>91</v>
      </c>
      <c r="G24" s="4" t="s">
        <v>26</v>
      </c>
      <c r="H24" s="3">
        <v>20</v>
      </c>
      <c r="I24" s="3">
        <v>20</v>
      </c>
      <c r="J24" s="3" t="s">
        <v>27</v>
      </c>
      <c r="K24" s="3" t="s">
        <v>93</v>
      </c>
      <c r="L24" s="6">
        <v>76</v>
      </c>
      <c r="M24" s="6">
        <v>2026</v>
      </c>
      <c r="N24" s="6"/>
      <c r="O24" s="5" t="s">
        <v>92</v>
      </c>
      <c r="P24" s="5" t="s">
        <v>94</v>
      </c>
      <c r="Q24" s="3"/>
      <c r="R24" s="4" t="s">
        <v>55</v>
      </c>
      <c r="S24" s="3" t="s">
        <v>32</v>
      </c>
      <c r="T24" s="4" t="s">
        <v>33</v>
      </c>
      <c r="U24" s="3" t="s">
        <v>34</v>
      </c>
      <c r="V24" s="4" t="s">
        <v>35</v>
      </c>
    </row>
    <row r="25" spans="1:22" ht="29.25" customHeight="1">
      <c r="A25" s="3" t="s">
        <v>95</v>
      </c>
      <c r="B25" s="4" t="s">
        <v>73</v>
      </c>
      <c r="C25" s="4" t="s">
        <v>91</v>
      </c>
      <c r="D25" s="4" t="s">
        <v>96</v>
      </c>
      <c r="E25" s="4"/>
      <c r="F25" s="5" t="s">
        <v>91</v>
      </c>
      <c r="G25" s="4" t="s">
        <v>26</v>
      </c>
      <c r="H25" s="3">
        <v>30</v>
      </c>
      <c r="I25" s="3">
        <v>30</v>
      </c>
      <c r="J25" s="3" t="s">
        <v>27</v>
      </c>
      <c r="K25" s="3" t="s">
        <v>93</v>
      </c>
      <c r="L25" s="6">
        <v>76</v>
      </c>
      <c r="M25" s="6">
        <v>2026</v>
      </c>
      <c r="N25" s="6"/>
      <c r="O25" s="5" t="s">
        <v>96</v>
      </c>
      <c r="P25" s="5" t="s">
        <v>94</v>
      </c>
      <c r="Q25" s="3"/>
      <c r="R25" s="4" t="s">
        <v>55</v>
      </c>
      <c r="S25" s="3" t="s">
        <v>32</v>
      </c>
      <c r="T25" s="4" t="s">
        <v>33</v>
      </c>
      <c r="U25" s="3" t="s">
        <v>34</v>
      </c>
      <c r="V25" s="4" t="s">
        <v>35</v>
      </c>
    </row>
    <row r="26" spans="1:22" ht="29.25" customHeight="1">
      <c r="A26" s="3" t="s">
        <v>97</v>
      </c>
      <c r="B26" s="4" t="s">
        <v>73</v>
      </c>
      <c r="C26" s="4" t="s">
        <v>91</v>
      </c>
      <c r="D26" s="4" t="s">
        <v>98</v>
      </c>
      <c r="E26" s="4"/>
      <c r="F26" s="5" t="s">
        <v>91</v>
      </c>
      <c r="G26" s="4" t="s">
        <v>26</v>
      </c>
      <c r="H26" s="3">
        <v>20</v>
      </c>
      <c r="I26" s="3">
        <v>20</v>
      </c>
      <c r="J26" s="3" t="s">
        <v>27</v>
      </c>
      <c r="K26" s="3" t="s">
        <v>93</v>
      </c>
      <c r="L26" s="6">
        <v>76</v>
      </c>
      <c r="M26" s="6">
        <v>2026</v>
      </c>
      <c r="N26" s="6"/>
      <c r="O26" s="5" t="s">
        <v>98</v>
      </c>
      <c r="P26" s="5" t="s">
        <v>94</v>
      </c>
      <c r="Q26" s="3"/>
      <c r="R26" s="4" t="s">
        <v>55</v>
      </c>
      <c r="S26" s="3" t="s">
        <v>32</v>
      </c>
      <c r="T26" s="4" t="s">
        <v>33</v>
      </c>
      <c r="U26" s="3" t="s">
        <v>34</v>
      </c>
      <c r="V26" s="4" t="s">
        <v>35</v>
      </c>
    </row>
    <row r="27" spans="1:22" ht="29.25" customHeight="1">
      <c r="A27" s="3" t="s">
        <v>99</v>
      </c>
      <c r="B27" s="4" t="s">
        <v>73</v>
      </c>
      <c r="C27" s="4" t="s">
        <v>91</v>
      </c>
      <c r="D27" s="4" t="s">
        <v>100</v>
      </c>
      <c r="E27" s="4"/>
      <c r="F27" s="5" t="s">
        <v>91</v>
      </c>
      <c r="G27" s="4" t="s">
        <v>26</v>
      </c>
      <c r="H27" s="3">
        <v>40</v>
      </c>
      <c r="I27" s="3">
        <v>40</v>
      </c>
      <c r="J27" s="3" t="s">
        <v>27</v>
      </c>
      <c r="K27" s="3" t="s">
        <v>93</v>
      </c>
      <c r="L27" s="6">
        <v>76</v>
      </c>
      <c r="M27" s="6">
        <v>2026</v>
      </c>
      <c r="N27" s="6"/>
      <c r="O27" s="5" t="s">
        <v>101</v>
      </c>
      <c r="P27" s="5"/>
      <c r="Q27" s="3"/>
      <c r="R27" s="4" t="s">
        <v>55</v>
      </c>
      <c r="S27" s="3" t="s">
        <v>32</v>
      </c>
      <c r="T27" s="4" t="s">
        <v>33</v>
      </c>
      <c r="U27" s="3" t="s">
        <v>34</v>
      </c>
      <c r="V27" s="4" t="s">
        <v>102</v>
      </c>
    </row>
    <row r="28" spans="1:22" ht="29.25" customHeight="1">
      <c r="A28" s="3" t="s">
        <v>103</v>
      </c>
      <c r="B28" s="4" t="s">
        <v>73</v>
      </c>
      <c r="C28" s="4" t="s">
        <v>104</v>
      </c>
      <c r="D28" s="4" t="s">
        <v>105</v>
      </c>
      <c r="E28" s="4"/>
      <c r="F28" s="5" t="s">
        <v>106</v>
      </c>
      <c r="G28" s="4" t="s">
        <v>26</v>
      </c>
      <c r="H28" s="3">
        <v>20</v>
      </c>
      <c r="I28" s="3">
        <v>20</v>
      </c>
      <c r="J28" s="3" t="s">
        <v>27</v>
      </c>
      <c r="K28" s="3" t="s">
        <v>107</v>
      </c>
      <c r="L28" s="6">
        <v>76</v>
      </c>
      <c r="M28" s="6">
        <v>2026</v>
      </c>
      <c r="N28" s="6"/>
      <c r="O28" s="5" t="s">
        <v>108</v>
      </c>
      <c r="P28" s="5" t="s">
        <v>109</v>
      </c>
      <c r="Q28" s="3"/>
      <c r="R28" s="4" t="s">
        <v>31</v>
      </c>
      <c r="S28" s="3" t="s">
        <v>32</v>
      </c>
      <c r="T28" s="4" t="s">
        <v>33</v>
      </c>
      <c r="U28" s="3" t="s">
        <v>34</v>
      </c>
      <c r="V28" s="4" t="s">
        <v>35</v>
      </c>
    </row>
    <row r="29" spans="1:22" ht="29.25" customHeight="1">
      <c r="A29" s="3" t="s">
        <v>110</v>
      </c>
      <c r="B29" s="4" t="s">
        <v>73</v>
      </c>
      <c r="C29" s="4" t="s">
        <v>104</v>
      </c>
      <c r="D29" s="4" t="s">
        <v>111</v>
      </c>
      <c r="E29" s="4"/>
      <c r="F29" s="5" t="s">
        <v>106</v>
      </c>
      <c r="G29" s="4" t="s">
        <v>26</v>
      </c>
      <c r="H29" s="3">
        <v>15</v>
      </c>
      <c r="I29" s="3">
        <v>15</v>
      </c>
      <c r="J29" s="3" t="s">
        <v>27</v>
      </c>
      <c r="K29" s="3" t="s">
        <v>107</v>
      </c>
      <c r="L29" s="6">
        <v>76</v>
      </c>
      <c r="M29" s="6">
        <v>2026</v>
      </c>
      <c r="N29" s="6"/>
      <c r="O29" s="5" t="s">
        <v>108</v>
      </c>
      <c r="P29" s="5" t="s">
        <v>109</v>
      </c>
      <c r="Q29" s="3"/>
      <c r="R29" s="4" t="s">
        <v>31</v>
      </c>
      <c r="S29" s="3" t="s">
        <v>32</v>
      </c>
      <c r="T29" s="4" t="s">
        <v>33</v>
      </c>
      <c r="U29" s="3" t="s">
        <v>34</v>
      </c>
      <c r="V29" s="4" t="s">
        <v>35</v>
      </c>
    </row>
    <row r="30" spans="1:22" ht="29.25" customHeight="1">
      <c r="A30" s="3" t="s">
        <v>112</v>
      </c>
      <c r="B30" s="4" t="s">
        <v>73</v>
      </c>
      <c r="C30" s="4" t="s">
        <v>104</v>
      </c>
      <c r="D30" s="4" t="s">
        <v>113</v>
      </c>
      <c r="E30" s="4"/>
      <c r="F30" s="5" t="s">
        <v>106</v>
      </c>
      <c r="G30" s="4" t="s">
        <v>26</v>
      </c>
      <c r="H30" s="3">
        <v>20</v>
      </c>
      <c r="I30" s="3">
        <v>20</v>
      </c>
      <c r="J30" s="3" t="s">
        <v>27</v>
      </c>
      <c r="K30" s="3" t="s">
        <v>107</v>
      </c>
      <c r="L30" s="6">
        <v>76</v>
      </c>
      <c r="M30" s="6">
        <v>2026</v>
      </c>
      <c r="N30" s="6"/>
      <c r="O30" s="5" t="s">
        <v>108</v>
      </c>
      <c r="P30" s="5" t="s">
        <v>109</v>
      </c>
      <c r="Q30" s="3"/>
      <c r="R30" s="4" t="s">
        <v>31</v>
      </c>
      <c r="S30" s="3" t="s">
        <v>32</v>
      </c>
      <c r="T30" s="4" t="s">
        <v>33</v>
      </c>
      <c r="U30" s="3" t="s">
        <v>34</v>
      </c>
      <c r="V30" s="4" t="s">
        <v>35</v>
      </c>
    </row>
    <row r="31" spans="1:22" ht="29.25" customHeight="1">
      <c r="A31" s="3" t="s">
        <v>114</v>
      </c>
      <c r="B31" s="4" t="s">
        <v>73</v>
      </c>
      <c r="C31" s="4" t="s">
        <v>104</v>
      </c>
      <c r="D31" s="4" t="s">
        <v>105</v>
      </c>
      <c r="E31" s="4">
        <v>3</v>
      </c>
      <c r="F31" s="5" t="s">
        <v>115</v>
      </c>
      <c r="G31" s="4" t="s">
        <v>26</v>
      </c>
      <c r="H31" s="3">
        <v>25</v>
      </c>
      <c r="I31" s="3">
        <v>25</v>
      </c>
      <c r="J31" s="3" t="s">
        <v>27</v>
      </c>
      <c r="K31" s="3" t="s">
        <v>107</v>
      </c>
      <c r="L31" s="6">
        <v>76</v>
      </c>
      <c r="M31" s="6">
        <v>2026</v>
      </c>
      <c r="N31" s="6"/>
      <c r="O31" s="5" t="s">
        <v>116</v>
      </c>
      <c r="P31" s="5" t="s">
        <v>109</v>
      </c>
      <c r="Q31" s="3"/>
      <c r="R31" s="4" t="s">
        <v>55</v>
      </c>
      <c r="S31" s="3" t="s">
        <v>32</v>
      </c>
      <c r="T31" s="4" t="s">
        <v>33</v>
      </c>
      <c r="U31" s="3" t="s">
        <v>34</v>
      </c>
      <c r="V31" s="4" t="s">
        <v>35</v>
      </c>
    </row>
    <row r="32" spans="1:22" ht="29.25" customHeight="1">
      <c r="A32" s="3" t="s">
        <v>117</v>
      </c>
      <c r="B32" s="4" t="s">
        <v>73</v>
      </c>
      <c r="C32" s="4" t="s">
        <v>104</v>
      </c>
      <c r="D32" s="4" t="s">
        <v>111</v>
      </c>
      <c r="E32" s="4">
        <v>4</v>
      </c>
      <c r="F32" s="5" t="s">
        <v>115</v>
      </c>
      <c r="G32" s="4" t="s">
        <v>26</v>
      </c>
      <c r="H32" s="3">
        <v>15</v>
      </c>
      <c r="I32" s="3">
        <v>15</v>
      </c>
      <c r="J32" s="3" t="s">
        <v>27</v>
      </c>
      <c r="K32" s="3" t="s">
        <v>107</v>
      </c>
      <c r="L32" s="6">
        <v>76</v>
      </c>
      <c r="M32" s="6">
        <v>2026</v>
      </c>
      <c r="N32" s="6"/>
      <c r="O32" s="5" t="s">
        <v>116</v>
      </c>
      <c r="P32" s="5" t="s">
        <v>109</v>
      </c>
      <c r="Q32" s="3"/>
      <c r="R32" s="4" t="s">
        <v>55</v>
      </c>
      <c r="S32" s="3" t="s">
        <v>32</v>
      </c>
      <c r="T32" s="4" t="s">
        <v>33</v>
      </c>
      <c r="U32" s="3" t="s">
        <v>34</v>
      </c>
      <c r="V32" s="4" t="s">
        <v>35</v>
      </c>
    </row>
    <row r="33" spans="1:22" ht="29.25" customHeight="1">
      <c r="A33" s="3" t="s">
        <v>118</v>
      </c>
      <c r="B33" s="4" t="s">
        <v>73</v>
      </c>
      <c r="C33" s="4" t="s">
        <v>104</v>
      </c>
      <c r="D33" s="4" t="s">
        <v>113</v>
      </c>
      <c r="E33" s="4">
        <v>5</v>
      </c>
      <c r="F33" s="5" t="s">
        <v>115</v>
      </c>
      <c r="G33" s="4" t="s">
        <v>26</v>
      </c>
      <c r="H33" s="3">
        <v>20</v>
      </c>
      <c r="I33" s="3">
        <v>20</v>
      </c>
      <c r="J33" s="3" t="s">
        <v>27</v>
      </c>
      <c r="K33" s="3" t="s">
        <v>107</v>
      </c>
      <c r="L33" s="6">
        <v>76</v>
      </c>
      <c r="M33" s="6">
        <v>2026</v>
      </c>
      <c r="N33" s="6"/>
      <c r="O33" s="5" t="s">
        <v>116</v>
      </c>
      <c r="P33" s="5" t="s">
        <v>109</v>
      </c>
      <c r="Q33" s="3"/>
      <c r="R33" s="4" t="s">
        <v>55</v>
      </c>
      <c r="S33" s="3" t="s">
        <v>32</v>
      </c>
      <c r="T33" s="4" t="s">
        <v>33</v>
      </c>
      <c r="U33" s="3" t="s">
        <v>34</v>
      </c>
      <c r="V33" s="4" t="s">
        <v>35</v>
      </c>
    </row>
    <row r="34" spans="1:22" ht="29.25" customHeight="1">
      <c r="A34" s="3" t="s">
        <v>119</v>
      </c>
      <c r="B34" s="4" t="s">
        <v>73</v>
      </c>
      <c r="C34" s="4" t="s">
        <v>104</v>
      </c>
      <c r="D34" s="4" t="s">
        <v>105</v>
      </c>
      <c r="E34" s="4"/>
      <c r="F34" s="5" t="s">
        <v>120</v>
      </c>
      <c r="G34" s="4" t="s">
        <v>26</v>
      </c>
      <c r="H34" s="3">
        <v>25</v>
      </c>
      <c r="I34" s="3">
        <v>25</v>
      </c>
      <c r="J34" s="3" t="s">
        <v>27</v>
      </c>
      <c r="K34" s="3" t="s">
        <v>107</v>
      </c>
      <c r="L34" s="6">
        <v>76</v>
      </c>
      <c r="M34" s="6">
        <v>2026</v>
      </c>
      <c r="N34" s="6"/>
      <c r="O34" s="5" t="s">
        <v>116</v>
      </c>
      <c r="P34" s="5" t="s">
        <v>109</v>
      </c>
      <c r="Q34" s="3"/>
      <c r="R34" s="4" t="s">
        <v>55</v>
      </c>
      <c r="S34" s="3" t="s">
        <v>32</v>
      </c>
      <c r="T34" s="4" t="s">
        <v>33</v>
      </c>
      <c r="U34" s="3" t="s">
        <v>34</v>
      </c>
      <c r="V34" s="4" t="s">
        <v>35</v>
      </c>
    </row>
    <row r="35" spans="1:22" ht="29.25" customHeight="1">
      <c r="A35" s="3" t="s">
        <v>121</v>
      </c>
      <c r="B35" s="4" t="s">
        <v>73</v>
      </c>
      <c r="C35" s="4" t="s">
        <v>104</v>
      </c>
      <c r="D35" s="4" t="s">
        <v>111</v>
      </c>
      <c r="E35" s="4"/>
      <c r="F35" s="5" t="s">
        <v>120</v>
      </c>
      <c r="G35" s="4" t="s">
        <v>26</v>
      </c>
      <c r="H35" s="3">
        <v>15</v>
      </c>
      <c r="I35" s="3">
        <v>15</v>
      </c>
      <c r="J35" s="3" t="s">
        <v>27</v>
      </c>
      <c r="K35" s="3" t="s">
        <v>107</v>
      </c>
      <c r="L35" s="6">
        <v>76</v>
      </c>
      <c r="M35" s="6">
        <v>2026</v>
      </c>
      <c r="N35" s="6"/>
      <c r="O35" s="5" t="s">
        <v>116</v>
      </c>
      <c r="P35" s="5" t="s">
        <v>109</v>
      </c>
      <c r="Q35" s="3"/>
      <c r="R35" s="4" t="s">
        <v>55</v>
      </c>
      <c r="S35" s="3" t="s">
        <v>32</v>
      </c>
      <c r="T35" s="4" t="s">
        <v>33</v>
      </c>
      <c r="U35" s="3" t="s">
        <v>34</v>
      </c>
      <c r="V35" s="4" t="s">
        <v>35</v>
      </c>
    </row>
    <row r="36" spans="1:22" ht="29.25" customHeight="1">
      <c r="A36" s="3" t="s">
        <v>122</v>
      </c>
      <c r="B36" s="4" t="s">
        <v>73</v>
      </c>
      <c r="C36" s="4" t="s">
        <v>104</v>
      </c>
      <c r="D36" s="4" t="s">
        <v>113</v>
      </c>
      <c r="E36" s="4"/>
      <c r="F36" s="5" t="s">
        <v>120</v>
      </c>
      <c r="G36" s="4" t="s">
        <v>26</v>
      </c>
      <c r="H36" s="3">
        <v>20</v>
      </c>
      <c r="I36" s="3">
        <v>20</v>
      </c>
      <c r="J36" s="3" t="s">
        <v>27</v>
      </c>
      <c r="K36" s="3" t="s">
        <v>107</v>
      </c>
      <c r="L36" s="6">
        <v>76</v>
      </c>
      <c r="M36" s="6">
        <v>2026</v>
      </c>
      <c r="N36" s="6"/>
      <c r="O36" s="5" t="s">
        <v>116</v>
      </c>
      <c r="P36" s="5" t="s">
        <v>109</v>
      </c>
      <c r="Q36" s="3"/>
      <c r="R36" s="4" t="s">
        <v>55</v>
      </c>
      <c r="S36" s="3" t="s">
        <v>32</v>
      </c>
      <c r="T36" s="4" t="s">
        <v>33</v>
      </c>
      <c r="U36" s="3" t="s">
        <v>34</v>
      </c>
      <c r="V36" s="4" t="s">
        <v>35</v>
      </c>
    </row>
    <row r="37" spans="1:22" ht="29.25" customHeight="1">
      <c r="A37" s="3" t="s">
        <v>123</v>
      </c>
      <c r="B37" s="4" t="s">
        <v>73</v>
      </c>
      <c r="C37" s="4" t="s">
        <v>104</v>
      </c>
      <c r="D37" s="4" t="s">
        <v>105</v>
      </c>
      <c r="E37" s="4"/>
      <c r="F37" s="5" t="s">
        <v>124</v>
      </c>
      <c r="G37" s="4" t="s">
        <v>26</v>
      </c>
      <c r="H37" s="3">
        <v>30</v>
      </c>
      <c r="I37" s="3">
        <v>30</v>
      </c>
      <c r="J37" s="3" t="s">
        <v>27</v>
      </c>
      <c r="K37" s="3" t="s">
        <v>107</v>
      </c>
      <c r="L37" s="6">
        <v>76</v>
      </c>
      <c r="M37" s="6">
        <v>2026</v>
      </c>
      <c r="N37" s="6"/>
      <c r="O37" s="5" t="s">
        <v>116</v>
      </c>
      <c r="P37" s="5" t="s">
        <v>109</v>
      </c>
      <c r="Q37" s="3"/>
      <c r="R37" s="4" t="s">
        <v>55</v>
      </c>
      <c r="S37" s="3" t="s">
        <v>32</v>
      </c>
      <c r="T37" s="4" t="s">
        <v>33</v>
      </c>
      <c r="U37" s="3" t="s">
        <v>34</v>
      </c>
      <c r="V37" s="4" t="s">
        <v>35</v>
      </c>
    </row>
    <row r="38" spans="1:22" ht="29.25" customHeight="1">
      <c r="A38" s="3" t="s">
        <v>125</v>
      </c>
      <c r="B38" s="4" t="s">
        <v>73</v>
      </c>
      <c r="C38" s="4" t="s">
        <v>104</v>
      </c>
      <c r="D38" s="4" t="s">
        <v>111</v>
      </c>
      <c r="E38" s="4"/>
      <c r="F38" s="5" t="s">
        <v>124</v>
      </c>
      <c r="G38" s="4" t="s">
        <v>26</v>
      </c>
      <c r="H38" s="3">
        <v>15</v>
      </c>
      <c r="I38" s="3">
        <v>15</v>
      </c>
      <c r="J38" s="3" t="s">
        <v>27</v>
      </c>
      <c r="K38" s="3" t="s">
        <v>107</v>
      </c>
      <c r="L38" s="6">
        <v>76</v>
      </c>
      <c r="M38" s="6">
        <v>2026</v>
      </c>
      <c r="N38" s="6"/>
      <c r="O38" s="5" t="s">
        <v>116</v>
      </c>
      <c r="P38" s="5" t="s">
        <v>109</v>
      </c>
      <c r="Q38" s="3"/>
      <c r="R38" s="4" t="s">
        <v>55</v>
      </c>
      <c r="S38" s="3" t="s">
        <v>32</v>
      </c>
      <c r="T38" s="4" t="s">
        <v>33</v>
      </c>
      <c r="U38" s="3" t="s">
        <v>34</v>
      </c>
      <c r="V38" s="4" t="s">
        <v>35</v>
      </c>
    </row>
    <row r="39" spans="1:22" ht="29.25" customHeight="1">
      <c r="A39" s="3" t="s">
        <v>126</v>
      </c>
      <c r="B39" s="4" t="s">
        <v>73</v>
      </c>
      <c r="C39" s="4" t="s">
        <v>104</v>
      </c>
      <c r="D39" s="4" t="s">
        <v>113</v>
      </c>
      <c r="E39" s="4"/>
      <c r="F39" s="5" t="s">
        <v>124</v>
      </c>
      <c r="G39" s="4" t="s">
        <v>26</v>
      </c>
      <c r="H39" s="3">
        <v>20</v>
      </c>
      <c r="I39" s="3">
        <v>20</v>
      </c>
      <c r="J39" s="3" t="s">
        <v>27</v>
      </c>
      <c r="K39" s="3" t="s">
        <v>107</v>
      </c>
      <c r="L39" s="6">
        <v>76</v>
      </c>
      <c r="M39" s="6">
        <v>2026</v>
      </c>
      <c r="N39" s="6"/>
      <c r="O39" s="5" t="s">
        <v>116</v>
      </c>
      <c r="P39" s="5" t="s">
        <v>109</v>
      </c>
      <c r="Q39" s="3"/>
      <c r="R39" s="4" t="s">
        <v>55</v>
      </c>
      <c r="S39" s="3" t="s">
        <v>32</v>
      </c>
      <c r="T39" s="4" t="s">
        <v>33</v>
      </c>
      <c r="U39" s="3" t="s">
        <v>34</v>
      </c>
      <c r="V39" s="4" t="s">
        <v>35</v>
      </c>
    </row>
    <row r="40" spans="1:22" ht="29.25" customHeight="1">
      <c r="A40" s="3" t="s">
        <v>127</v>
      </c>
      <c r="B40" s="4" t="s">
        <v>73</v>
      </c>
      <c r="C40" s="4" t="s">
        <v>104</v>
      </c>
      <c r="D40" s="4" t="s">
        <v>105</v>
      </c>
      <c r="E40" s="4"/>
      <c r="F40" s="5" t="s">
        <v>128</v>
      </c>
      <c r="G40" s="4" t="s">
        <v>26</v>
      </c>
      <c r="H40" s="3">
        <v>40</v>
      </c>
      <c r="I40" s="3">
        <v>40</v>
      </c>
      <c r="J40" s="3" t="s">
        <v>27</v>
      </c>
      <c r="K40" s="3" t="s">
        <v>107</v>
      </c>
      <c r="L40" s="6">
        <v>76</v>
      </c>
      <c r="M40" s="6">
        <v>2026</v>
      </c>
      <c r="N40" s="6"/>
      <c r="O40" s="5" t="s">
        <v>116</v>
      </c>
      <c r="P40" s="5" t="s">
        <v>109</v>
      </c>
      <c r="Q40" s="3"/>
      <c r="R40" s="4" t="s">
        <v>55</v>
      </c>
      <c r="S40" s="3" t="s">
        <v>32</v>
      </c>
      <c r="T40" s="4" t="s">
        <v>33</v>
      </c>
      <c r="U40" s="3" t="s">
        <v>34</v>
      </c>
      <c r="V40" s="4" t="s">
        <v>35</v>
      </c>
    </row>
    <row r="41" spans="1:22" ht="29.25" customHeight="1">
      <c r="A41" s="3" t="s">
        <v>129</v>
      </c>
      <c r="B41" s="4" t="s">
        <v>73</v>
      </c>
      <c r="C41" s="4" t="s">
        <v>104</v>
      </c>
      <c r="D41" s="4" t="s">
        <v>111</v>
      </c>
      <c r="E41" s="4"/>
      <c r="F41" s="5" t="s">
        <v>128</v>
      </c>
      <c r="G41" s="4" t="s">
        <v>26</v>
      </c>
      <c r="H41" s="3">
        <v>20</v>
      </c>
      <c r="I41" s="3">
        <v>20</v>
      </c>
      <c r="J41" s="3" t="s">
        <v>27</v>
      </c>
      <c r="K41" s="3" t="s">
        <v>107</v>
      </c>
      <c r="L41" s="6">
        <v>76</v>
      </c>
      <c r="M41" s="6">
        <v>2026</v>
      </c>
      <c r="N41" s="6"/>
      <c r="O41" s="5" t="s">
        <v>116</v>
      </c>
      <c r="P41" s="5" t="s">
        <v>109</v>
      </c>
      <c r="Q41" s="3"/>
      <c r="R41" s="4" t="s">
        <v>55</v>
      </c>
      <c r="S41" s="3" t="s">
        <v>32</v>
      </c>
      <c r="T41" s="4" t="s">
        <v>33</v>
      </c>
      <c r="U41" s="3" t="s">
        <v>34</v>
      </c>
      <c r="V41" s="4" t="s">
        <v>35</v>
      </c>
    </row>
    <row r="42" spans="1:22" ht="29.25" customHeight="1">
      <c r="A42" s="3" t="s">
        <v>130</v>
      </c>
      <c r="B42" s="4" t="s">
        <v>73</v>
      </c>
      <c r="C42" s="4" t="s">
        <v>104</v>
      </c>
      <c r="D42" s="4" t="s">
        <v>113</v>
      </c>
      <c r="E42" s="4"/>
      <c r="F42" s="5" t="s">
        <v>128</v>
      </c>
      <c r="G42" s="4" t="s">
        <v>26</v>
      </c>
      <c r="H42" s="3">
        <v>25</v>
      </c>
      <c r="I42" s="3">
        <v>25</v>
      </c>
      <c r="J42" s="3" t="s">
        <v>27</v>
      </c>
      <c r="K42" s="3" t="s">
        <v>107</v>
      </c>
      <c r="L42" s="6">
        <v>76</v>
      </c>
      <c r="M42" s="6">
        <v>2026</v>
      </c>
      <c r="N42" s="6"/>
      <c r="O42" s="5" t="s">
        <v>116</v>
      </c>
      <c r="P42" s="5" t="s">
        <v>109</v>
      </c>
      <c r="Q42" s="3"/>
      <c r="R42" s="4" t="s">
        <v>55</v>
      </c>
      <c r="S42" s="3" t="s">
        <v>32</v>
      </c>
      <c r="T42" s="4" t="s">
        <v>33</v>
      </c>
      <c r="U42" s="3" t="s">
        <v>34</v>
      </c>
      <c r="V42" s="4" t="s">
        <v>35</v>
      </c>
    </row>
    <row r="43" spans="1:22" ht="29.25" customHeight="1">
      <c r="A43" s="3" t="s">
        <v>131</v>
      </c>
      <c r="B43" s="4" t="s">
        <v>73</v>
      </c>
      <c r="C43" s="4" t="s">
        <v>104</v>
      </c>
      <c r="D43" s="4" t="s">
        <v>105</v>
      </c>
      <c r="E43" s="4"/>
      <c r="F43" s="5" t="s">
        <v>132</v>
      </c>
      <c r="G43" s="4" t="s">
        <v>26</v>
      </c>
      <c r="H43" s="3">
        <v>50</v>
      </c>
      <c r="I43" s="3">
        <v>50</v>
      </c>
      <c r="J43" s="3" t="s">
        <v>27</v>
      </c>
      <c r="K43" s="3" t="s">
        <v>107</v>
      </c>
      <c r="L43" s="6">
        <v>76</v>
      </c>
      <c r="M43" s="6">
        <v>2026</v>
      </c>
      <c r="N43" s="6"/>
      <c r="O43" s="5" t="s">
        <v>116</v>
      </c>
      <c r="P43" s="5" t="s">
        <v>109</v>
      </c>
      <c r="Q43" s="3"/>
      <c r="R43" s="4" t="s">
        <v>55</v>
      </c>
      <c r="S43" s="3" t="s">
        <v>32</v>
      </c>
      <c r="T43" s="4" t="s">
        <v>33</v>
      </c>
      <c r="U43" s="3" t="s">
        <v>34</v>
      </c>
      <c r="V43" s="4" t="s">
        <v>35</v>
      </c>
    </row>
    <row r="44" spans="1:22" ht="29.25" customHeight="1">
      <c r="A44" s="3" t="s">
        <v>133</v>
      </c>
      <c r="B44" s="4" t="s">
        <v>73</v>
      </c>
      <c r="C44" s="4" t="s">
        <v>104</v>
      </c>
      <c r="D44" s="4" t="s">
        <v>111</v>
      </c>
      <c r="E44" s="4"/>
      <c r="F44" s="5" t="s">
        <v>132</v>
      </c>
      <c r="G44" s="4" t="s">
        <v>26</v>
      </c>
      <c r="H44" s="3">
        <v>20</v>
      </c>
      <c r="I44" s="3">
        <v>20</v>
      </c>
      <c r="J44" s="3" t="s">
        <v>27</v>
      </c>
      <c r="K44" s="3" t="s">
        <v>107</v>
      </c>
      <c r="L44" s="6">
        <v>76</v>
      </c>
      <c r="M44" s="6">
        <v>2026</v>
      </c>
      <c r="N44" s="6"/>
      <c r="O44" s="5" t="s">
        <v>116</v>
      </c>
      <c r="P44" s="5" t="s">
        <v>109</v>
      </c>
      <c r="Q44" s="3"/>
      <c r="R44" s="4" t="s">
        <v>55</v>
      </c>
      <c r="S44" s="3" t="s">
        <v>32</v>
      </c>
      <c r="T44" s="4" t="s">
        <v>33</v>
      </c>
      <c r="U44" s="3" t="s">
        <v>34</v>
      </c>
      <c r="V44" s="4" t="s">
        <v>35</v>
      </c>
    </row>
    <row r="45" spans="1:22" ht="29.25" customHeight="1">
      <c r="A45" s="3" t="s">
        <v>134</v>
      </c>
      <c r="B45" s="4" t="s">
        <v>73</v>
      </c>
      <c r="C45" s="4" t="s">
        <v>104</v>
      </c>
      <c r="D45" s="4" t="s">
        <v>113</v>
      </c>
      <c r="E45" s="4"/>
      <c r="F45" s="5" t="s">
        <v>132</v>
      </c>
      <c r="G45" s="4" t="s">
        <v>26</v>
      </c>
      <c r="H45" s="3">
        <v>25</v>
      </c>
      <c r="I45" s="3">
        <v>25</v>
      </c>
      <c r="J45" s="3" t="s">
        <v>27</v>
      </c>
      <c r="K45" s="3" t="s">
        <v>107</v>
      </c>
      <c r="L45" s="6">
        <v>76</v>
      </c>
      <c r="M45" s="6">
        <v>2026</v>
      </c>
      <c r="N45" s="6"/>
      <c r="O45" s="5" t="s">
        <v>116</v>
      </c>
      <c r="P45" s="5" t="s">
        <v>109</v>
      </c>
      <c r="Q45" s="3"/>
      <c r="R45" s="4" t="s">
        <v>55</v>
      </c>
      <c r="S45" s="3" t="s">
        <v>32</v>
      </c>
      <c r="T45" s="4" t="s">
        <v>33</v>
      </c>
      <c r="U45" s="3" t="s">
        <v>34</v>
      </c>
      <c r="V45" s="4" t="s">
        <v>35</v>
      </c>
    </row>
    <row r="46" spans="1:22" ht="29.25" customHeight="1">
      <c r="A46" s="3" t="s">
        <v>135</v>
      </c>
      <c r="B46" s="4" t="s">
        <v>73</v>
      </c>
      <c r="C46" s="4" t="s">
        <v>136</v>
      </c>
      <c r="D46" s="4" t="s">
        <v>75</v>
      </c>
      <c r="E46" s="4"/>
      <c r="F46" s="5" t="s">
        <v>136</v>
      </c>
      <c r="G46" s="4" t="s">
        <v>26</v>
      </c>
      <c r="H46" s="3">
        <v>10</v>
      </c>
      <c r="I46" s="3">
        <v>10</v>
      </c>
      <c r="J46" s="3" t="s">
        <v>27</v>
      </c>
      <c r="K46" s="3" t="s">
        <v>137</v>
      </c>
      <c r="L46" s="6">
        <v>77</v>
      </c>
      <c r="M46" s="6">
        <v>2026</v>
      </c>
      <c r="N46" s="6"/>
      <c r="O46" s="5" t="s">
        <v>138</v>
      </c>
      <c r="P46" s="5"/>
      <c r="Q46" s="3"/>
      <c r="R46" s="4" t="s">
        <v>31</v>
      </c>
      <c r="S46" s="3" t="s">
        <v>32</v>
      </c>
      <c r="T46" s="4" t="s">
        <v>33</v>
      </c>
      <c r="U46" s="3" t="s">
        <v>34</v>
      </c>
      <c r="V46" s="4" t="s">
        <v>35</v>
      </c>
    </row>
    <row r="47" spans="1:22" ht="29.25" customHeight="1">
      <c r="A47" s="3" t="s">
        <v>139</v>
      </c>
      <c r="B47" s="4" t="s">
        <v>73</v>
      </c>
      <c r="C47" s="4" t="s">
        <v>136</v>
      </c>
      <c r="D47" s="4" t="s">
        <v>140</v>
      </c>
      <c r="E47" s="4"/>
      <c r="F47" s="5" t="s">
        <v>136</v>
      </c>
      <c r="G47" s="4" t="s">
        <v>26</v>
      </c>
      <c r="H47" s="3">
        <v>10</v>
      </c>
      <c r="I47" s="3">
        <v>10</v>
      </c>
      <c r="J47" s="3" t="s">
        <v>27</v>
      </c>
      <c r="K47" s="3" t="s">
        <v>137</v>
      </c>
      <c r="L47" s="6">
        <v>77</v>
      </c>
      <c r="M47" s="6">
        <v>2026</v>
      </c>
      <c r="N47" s="6"/>
      <c r="O47" s="5" t="s">
        <v>138</v>
      </c>
      <c r="P47" s="5"/>
      <c r="Q47" s="3"/>
      <c r="R47" s="4" t="s">
        <v>31</v>
      </c>
      <c r="S47" s="3" t="s">
        <v>32</v>
      </c>
      <c r="T47" s="4" t="s">
        <v>33</v>
      </c>
      <c r="U47" s="3" t="s">
        <v>34</v>
      </c>
      <c r="V47" s="4" t="s">
        <v>35</v>
      </c>
    </row>
    <row r="48" spans="1:22" ht="29.25" customHeight="1">
      <c r="A48" s="3" t="s">
        <v>141</v>
      </c>
      <c r="B48" s="4" t="s">
        <v>22</v>
      </c>
      <c r="C48" s="4" t="s">
        <v>142</v>
      </c>
      <c r="D48" s="4" t="s">
        <v>143</v>
      </c>
      <c r="E48" s="4"/>
      <c r="F48" s="5" t="s">
        <v>144</v>
      </c>
      <c r="G48" s="3" t="s">
        <v>44</v>
      </c>
      <c r="H48" s="3">
        <v>5</v>
      </c>
      <c r="I48" s="3">
        <v>5</v>
      </c>
      <c r="J48" s="3" t="s">
        <v>27</v>
      </c>
      <c r="K48" s="3" t="s">
        <v>145</v>
      </c>
      <c r="L48" s="6">
        <v>77</v>
      </c>
      <c r="M48" s="6">
        <v>2026</v>
      </c>
      <c r="N48" s="6"/>
      <c r="O48" s="5" t="s">
        <v>146</v>
      </c>
      <c r="P48" s="5"/>
      <c r="Q48" s="3"/>
      <c r="R48" s="4" t="s">
        <v>55</v>
      </c>
      <c r="S48" s="3" t="s">
        <v>32</v>
      </c>
      <c r="T48" s="4" t="s">
        <v>33</v>
      </c>
      <c r="U48" s="3" t="s">
        <v>34</v>
      </c>
      <c r="V48" s="4" t="s">
        <v>35</v>
      </c>
    </row>
    <row r="49" spans="1:22" ht="29.25" customHeight="1">
      <c r="A49" s="3" t="s">
        <v>147</v>
      </c>
      <c r="B49" s="4" t="s">
        <v>22</v>
      </c>
      <c r="C49" s="4" t="s">
        <v>142</v>
      </c>
      <c r="D49" s="32" t="s">
        <v>959</v>
      </c>
      <c r="E49" s="32"/>
      <c r="F49" s="5" t="s">
        <v>144</v>
      </c>
      <c r="G49" s="3" t="s">
        <v>44</v>
      </c>
      <c r="H49" s="3">
        <v>3</v>
      </c>
      <c r="I49" s="3">
        <v>3</v>
      </c>
      <c r="J49" s="3" t="s">
        <v>27</v>
      </c>
      <c r="K49" s="3" t="s">
        <v>145</v>
      </c>
      <c r="L49" s="6">
        <v>77</v>
      </c>
      <c r="M49" s="6">
        <v>2026</v>
      </c>
      <c r="N49" s="6"/>
      <c r="O49" s="5" t="s">
        <v>146</v>
      </c>
      <c r="P49" s="5"/>
      <c r="Q49" s="3"/>
      <c r="R49" s="4" t="s">
        <v>55</v>
      </c>
      <c r="S49" s="3" t="s">
        <v>32</v>
      </c>
      <c r="T49" s="4" t="s">
        <v>33</v>
      </c>
      <c r="U49" s="3" t="s">
        <v>34</v>
      </c>
      <c r="V49" s="4" t="s">
        <v>35</v>
      </c>
    </row>
    <row r="50" spans="1:22" ht="29.25" customHeight="1">
      <c r="A50" s="3" t="s">
        <v>149</v>
      </c>
      <c r="B50" s="4" t="s">
        <v>22</v>
      </c>
      <c r="C50" s="4" t="s">
        <v>142</v>
      </c>
      <c r="D50" s="4" t="s">
        <v>148</v>
      </c>
      <c r="E50" s="4"/>
      <c r="F50" s="5" t="s">
        <v>150</v>
      </c>
      <c r="G50" s="3" t="s">
        <v>44</v>
      </c>
      <c r="H50" s="3">
        <v>6</v>
      </c>
      <c r="I50" s="3">
        <v>7</v>
      </c>
      <c r="J50" s="3" t="s">
        <v>27</v>
      </c>
      <c r="K50" s="3" t="s">
        <v>145</v>
      </c>
      <c r="L50" s="6">
        <v>77</v>
      </c>
      <c r="M50" s="6">
        <v>2026</v>
      </c>
      <c r="N50" s="6"/>
      <c r="O50" s="5" t="s">
        <v>146</v>
      </c>
      <c r="P50" s="5"/>
      <c r="Q50" s="3"/>
      <c r="R50" s="4" t="s">
        <v>55</v>
      </c>
      <c r="S50" s="3" t="s">
        <v>32</v>
      </c>
      <c r="T50" s="4" t="s">
        <v>33</v>
      </c>
      <c r="U50" s="3" t="s">
        <v>34</v>
      </c>
      <c r="V50" s="4" t="s">
        <v>35</v>
      </c>
    </row>
    <row r="51" spans="1:22" ht="29.25" customHeight="1">
      <c r="A51" s="3" t="s">
        <v>151</v>
      </c>
      <c r="B51" s="4" t="s">
        <v>22</v>
      </c>
      <c r="C51" s="4" t="s">
        <v>142</v>
      </c>
      <c r="D51" s="4" t="s">
        <v>152</v>
      </c>
      <c r="E51" s="4"/>
      <c r="F51" s="5" t="s">
        <v>144</v>
      </c>
      <c r="G51" s="3" t="s">
        <v>153</v>
      </c>
      <c r="H51" s="3">
        <v>5</v>
      </c>
      <c r="I51" s="3">
        <v>5</v>
      </c>
      <c r="J51" s="3" t="s">
        <v>27</v>
      </c>
      <c r="K51" s="3" t="s">
        <v>145</v>
      </c>
      <c r="L51" s="6">
        <v>77</v>
      </c>
      <c r="M51" s="6">
        <v>2026</v>
      </c>
      <c r="N51" s="6"/>
      <c r="O51" s="5" t="s">
        <v>146</v>
      </c>
      <c r="P51" s="5"/>
      <c r="Q51" s="3"/>
      <c r="R51" s="4" t="s">
        <v>31</v>
      </c>
      <c r="S51" s="3" t="s">
        <v>32</v>
      </c>
      <c r="T51" s="4" t="s">
        <v>33</v>
      </c>
      <c r="U51" s="3" t="s">
        <v>34</v>
      </c>
      <c r="V51" s="4" t="s">
        <v>35</v>
      </c>
    </row>
    <row r="52" spans="1:22" ht="29.25" customHeight="1">
      <c r="A52" s="3" t="s">
        <v>154</v>
      </c>
      <c r="B52" s="4" t="s">
        <v>22</v>
      </c>
      <c r="C52" s="4" t="s">
        <v>142</v>
      </c>
      <c r="D52" s="4" t="s">
        <v>155</v>
      </c>
      <c r="E52" s="4"/>
      <c r="F52" s="5" t="s">
        <v>144</v>
      </c>
      <c r="G52" s="3" t="s">
        <v>153</v>
      </c>
      <c r="H52" s="3">
        <v>3</v>
      </c>
      <c r="I52" s="3">
        <v>3</v>
      </c>
      <c r="J52" s="3" t="s">
        <v>27</v>
      </c>
      <c r="K52" s="3" t="s">
        <v>145</v>
      </c>
      <c r="L52" s="6">
        <v>77</v>
      </c>
      <c r="M52" s="6">
        <v>2026</v>
      </c>
      <c r="N52" s="6"/>
      <c r="O52" s="5" t="s">
        <v>146</v>
      </c>
      <c r="P52" s="5"/>
      <c r="Q52" s="3"/>
      <c r="R52" s="4" t="s">
        <v>31</v>
      </c>
      <c r="S52" s="3" t="s">
        <v>32</v>
      </c>
      <c r="T52" s="4" t="s">
        <v>33</v>
      </c>
      <c r="U52" s="3" t="s">
        <v>34</v>
      </c>
      <c r="V52" s="4" t="s">
        <v>35</v>
      </c>
    </row>
    <row r="53" spans="1:22" ht="29.25" customHeight="1">
      <c r="A53" s="3" t="s">
        <v>156</v>
      </c>
      <c r="B53" s="4" t="s">
        <v>22</v>
      </c>
      <c r="C53" s="4" t="s">
        <v>142</v>
      </c>
      <c r="D53" s="4" t="s">
        <v>157</v>
      </c>
      <c r="E53" s="4"/>
      <c r="F53" s="5" t="s">
        <v>144</v>
      </c>
      <c r="G53" s="3" t="s">
        <v>44</v>
      </c>
      <c r="H53" s="3">
        <v>10</v>
      </c>
      <c r="I53" s="3">
        <v>10</v>
      </c>
      <c r="J53" s="3" t="s">
        <v>27</v>
      </c>
      <c r="K53" s="3" t="s">
        <v>145</v>
      </c>
      <c r="L53" s="6">
        <v>77</v>
      </c>
      <c r="M53" s="6">
        <v>2026</v>
      </c>
      <c r="N53" s="6"/>
      <c r="O53" s="5" t="s">
        <v>146</v>
      </c>
      <c r="P53" s="5"/>
      <c r="Q53" s="3"/>
      <c r="R53" s="4" t="s">
        <v>31</v>
      </c>
      <c r="S53" s="3" t="s">
        <v>32</v>
      </c>
      <c r="T53" s="4" t="s">
        <v>33</v>
      </c>
      <c r="U53" s="3" t="s">
        <v>34</v>
      </c>
      <c r="V53" s="4" t="s">
        <v>35</v>
      </c>
    </row>
    <row r="54" spans="1:22" ht="29.25" customHeight="1">
      <c r="A54" s="3" t="s">
        <v>158</v>
      </c>
      <c r="B54" s="4" t="s">
        <v>22</v>
      </c>
      <c r="C54" s="4" t="s">
        <v>142</v>
      </c>
      <c r="D54" s="4" t="s">
        <v>159</v>
      </c>
      <c r="E54" s="4"/>
      <c r="F54" s="5" t="s">
        <v>144</v>
      </c>
      <c r="G54" s="3" t="s">
        <v>44</v>
      </c>
      <c r="H54" s="3">
        <v>5</v>
      </c>
      <c r="I54" s="3">
        <v>5</v>
      </c>
      <c r="J54" s="3" t="s">
        <v>27</v>
      </c>
      <c r="K54" s="3" t="s">
        <v>145</v>
      </c>
      <c r="L54" s="6">
        <v>77</v>
      </c>
      <c r="M54" s="6">
        <v>2026</v>
      </c>
      <c r="N54" s="6"/>
      <c r="O54" s="5" t="s">
        <v>160</v>
      </c>
      <c r="P54" s="5" t="s">
        <v>161</v>
      </c>
      <c r="Q54" s="3"/>
      <c r="R54" s="4" t="s">
        <v>31</v>
      </c>
      <c r="S54" s="3" t="s">
        <v>32</v>
      </c>
      <c r="T54" s="4" t="s">
        <v>33</v>
      </c>
      <c r="U54" s="3" t="s">
        <v>34</v>
      </c>
      <c r="V54" s="4" t="s">
        <v>35</v>
      </c>
    </row>
    <row r="55" spans="1:22" ht="29.25" customHeight="1">
      <c r="A55" s="3" t="s">
        <v>162</v>
      </c>
      <c r="B55" s="4" t="s">
        <v>22</v>
      </c>
      <c r="C55" s="4" t="s">
        <v>142</v>
      </c>
      <c r="D55" s="4" t="s">
        <v>163</v>
      </c>
      <c r="E55" s="4"/>
      <c r="F55" s="5" t="s">
        <v>144</v>
      </c>
      <c r="G55" s="3" t="s">
        <v>44</v>
      </c>
      <c r="H55" s="3">
        <v>7</v>
      </c>
      <c r="I55" s="3">
        <v>7</v>
      </c>
      <c r="J55" s="3" t="s">
        <v>27</v>
      </c>
      <c r="K55" s="3" t="s">
        <v>145</v>
      </c>
      <c r="L55" s="6">
        <v>77</v>
      </c>
      <c r="M55" s="6">
        <v>2026</v>
      </c>
      <c r="N55" s="6"/>
      <c r="O55" s="5" t="s">
        <v>146</v>
      </c>
      <c r="P55" s="5"/>
      <c r="Q55" s="3"/>
      <c r="R55" s="4" t="s">
        <v>31</v>
      </c>
      <c r="S55" s="3" t="s">
        <v>32</v>
      </c>
      <c r="T55" s="4" t="s">
        <v>33</v>
      </c>
      <c r="U55" s="3" t="s">
        <v>34</v>
      </c>
      <c r="V55" s="4" t="s">
        <v>35</v>
      </c>
    </row>
    <row r="56" spans="1:22" ht="29.25" customHeight="1">
      <c r="A56" s="3" t="s">
        <v>164</v>
      </c>
      <c r="B56" s="4" t="s">
        <v>22</v>
      </c>
      <c r="C56" s="4" t="s">
        <v>142</v>
      </c>
      <c r="D56" s="4" t="s">
        <v>165</v>
      </c>
      <c r="E56" s="4"/>
      <c r="F56" s="5" t="s">
        <v>144</v>
      </c>
      <c r="G56" s="3" t="s">
        <v>44</v>
      </c>
      <c r="H56" s="3">
        <v>5</v>
      </c>
      <c r="I56" s="3">
        <v>5</v>
      </c>
      <c r="J56" s="3" t="s">
        <v>27</v>
      </c>
      <c r="K56" s="3" t="s">
        <v>145</v>
      </c>
      <c r="L56" s="6">
        <v>77</v>
      </c>
      <c r="M56" s="6">
        <v>2026</v>
      </c>
      <c r="N56" s="6"/>
      <c r="O56" s="5" t="s">
        <v>146</v>
      </c>
      <c r="P56" s="5"/>
      <c r="Q56" s="3"/>
      <c r="R56" s="4" t="s">
        <v>31</v>
      </c>
      <c r="S56" s="3" t="s">
        <v>32</v>
      </c>
      <c r="T56" s="4" t="s">
        <v>33</v>
      </c>
      <c r="U56" s="3" t="s">
        <v>34</v>
      </c>
      <c r="V56" s="4" t="s">
        <v>35</v>
      </c>
    </row>
    <row r="57" spans="1:22" ht="29.25" customHeight="1">
      <c r="A57" s="3" t="s">
        <v>166</v>
      </c>
      <c r="B57" s="4" t="s">
        <v>22</v>
      </c>
      <c r="C57" s="4" t="s">
        <v>142</v>
      </c>
      <c r="D57" s="4" t="s">
        <v>167</v>
      </c>
      <c r="E57" s="4"/>
      <c r="F57" s="5" t="s">
        <v>144</v>
      </c>
      <c r="G57" s="3" t="s">
        <v>44</v>
      </c>
      <c r="H57" s="3">
        <v>5</v>
      </c>
      <c r="I57" s="3">
        <v>5</v>
      </c>
      <c r="J57" s="3" t="s">
        <v>27</v>
      </c>
      <c r="K57" s="3" t="s">
        <v>145</v>
      </c>
      <c r="L57" s="6">
        <v>77</v>
      </c>
      <c r="M57" s="6">
        <v>2026</v>
      </c>
      <c r="N57" s="6"/>
      <c r="O57" s="5" t="s">
        <v>146</v>
      </c>
      <c r="P57" s="5"/>
      <c r="Q57" s="3"/>
      <c r="R57" s="4" t="s">
        <v>31</v>
      </c>
      <c r="S57" s="3" t="s">
        <v>32</v>
      </c>
      <c r="T57" s="4" t="s">
        <v>33</v>
      </c>
      <c r="U57" s="3" t="s">
        <v>34</v>
      </c>
      <c r="V57" s="4" t="s">
        <v>35</v>
      </c>
    </row>
    <row r="58" spans="1:22" ht="29.25" customHeight="1">
      <c r="A58" s="3" t="s">
        <v>168</v>
      </c>
      <c r="B58" s="4" t="s">
        <v>22</v>
      </c>
      <c r="C58" s="4" t="s">
        <v>142</v>
      </c>
      <c r="D58" s="4" t="s">
        <v>169</v>
      </c>
      <c r="E58" s="4"/>
      <c r="F58" s="5" t="s">
        <v>144</v>
      </c>
      <c r="G58" s="3" t="s">
        <v>44</v>
      </c>
      <c r="H58" s="3">
        <v>5</v>
      </c>
      <c r="I58" s="3">
        <v>5</v>
      </c>
      <c r="J58" s="3" t="s">
        <v>27</v>
      </c>
      <c r="K58" s="3" t="s">
        <v>145</v>
      </c>
      <c r="L58" s="6">
        <v>77</v>
      </c>
      <c r="M58" s="6">
        <v>2026</v>
      </c>
      <c r="N58" s="6"/>
      <c r="O58" s="5" t="s">
        <v>146</v>
      </c>
      <c r="P58" s="5"/>
      <c r="Q58" s="3"/>
      <c r="R58" s="4" t="s">
        <v>31</v>
      </c>
      <c r="S58" s="3" t="s">
        <v>32</v>
      </c>
      <c r="T58" s="4" t="s">
        <v>33</v>
      </c>
      <c r="U58" s="3" t="s">
        <v>34</v>
      </c>
      <c r="V58" s="4" t="s">
        <v>35</v>
      </c>
    </row>
    <row r="59" spans="1:22" ht="29.25" customHeight="1">
      <c r="A59" s="3" t="s">
        <v>170</v>
      </c>
      <c r="B59" s="4" t="s">
        <v>22</v>
      </c>
      <c r="C59" s="4" t="s">
        <v>142</v>
      </c>
      <c r="D59" s="4" t="s">
        <v>171</v>
      </c>
      <c r="E59" s="4"/>
      <c r="F59" s="5" t="s">
        <v>144</v>
      </c>
      <c r="G59" s="3" t="s">
        <v>44</v>
      </c>
      <c r="H59" s="3">
        <v>5</v>
      </c>
      <c r="I59" s="3">
        <v>5</v>
      </c>
      <c r="J59" s="3" t="s">
        <v>27</v>
      </c>
      <c r="K59" s="3" t="s">
        <v>145</v>
      </c>
      <c r="L59" s="6">
        <v>77</v>
      </c>
      <c r="M59" s="6">
        <v>2026</v>
      </c>
      <c r="N59" s="6"/>
      <c r="O59" s="5" t="s">
        <v>146</v>
      </c>
      <c r="P59" s="5"/>
      <c r="Q59" s="3"/>
      <c r="R59" s="4" t="s">
        <v>31</v>
      </c>
      <c r="S59" s="3" t="s">
        <v>32</v>
      </c>
      <c r="T59" s="4" t="s">
        <v>33</v>
      </c>
      <c r="U59" s="3" t="s">
        <v>34</v>
      </c>
      <c r="V59" s="4" t="s">
        <v>35</v>
      </c>
    </row>
    <row r="60" spans="1:22" ht="29.25" customHeight="1">
      <c r="A60" s="3" t="s">
        <v>172</v>
      </c>
      <c r="B60" s="4" t="s">
        <v>22</v>
      </c>
      <c r="C60" s="4" t="s">
        <v>142</v>
      </c>
      <c r="D60" s="4" t="s">
        <v>173</v>
      </c>
      <c r="E60" s="4"/>
      <c r="F60" s="5" t="s">
        <v>144</v>
      </c>
      <c r="G60" s="3" t="s">
        <v>44</v>
      </c>
      <c r="H60" s="3">
        <v>5</v>
      </c>
      <c r="I60" s="3">
        <v>5</v>
      </c>
      <c r="J60" s="3" t="s">
        <v>27</v>
      </c>
      <c r="K60" s="3" t="s">
        <v>145</v>
      </c>
      <c r="L60" s="6">
        <v>77</v>
      </c>
      <c r="M60" s="6">
        <v>2026</v>
      </c>
      <c r="N60" s="6"/>
      <c r="O60" s="5" t="s">
        <v>146</v>
      </c>
      <c r="P60" s="5"/>
      <c r="Q60" s="3"/>
      <c r="R60" s="4" t="s">
        <v>31</v>
      </c>
      <c r="S60" s="3" t="s">
        <v>32</v>
      </c>
      <c r="T60" s="4" t="s">
        <v>33</v>
      </c>
      <c r="U60" s="3" t="s">
        <v>34</v>
      </c>
      <c r="V60" s="4" t="s">
        <v>35</v>
      </c>
    </row>
    <row r="61" spans="1:22" ht="29.25" customHeight="1">
      <c r="A61" s="3" t="s">
        <v>174</v>
      </c>
      <c r="B61" s="4" t="s">
        <v>22</v>
      </c>
      <c r="C61" s="4" t="s">
        <v>142</v>
      </c>
      <c r="D61" s="4" t="s">
        <v>175</v>
      </c>
      <c r="E61" s="4"/>
      <c r="F61" s="5" t="s">
        <v>144</v>
      </c>
      <c r="G61" s="3" t="s">
        <v>44</v>
      </c>
      <c r="H61" s="3">
        <v>5</v>
      </c>
      <c r="I61" s="3">
        <v>5</v>
      </c>
      <c r="J61" s="3" t="s">
        <v>27</v>
      </c>
      <c r="K61" s="3" t="s">
        <v>145</v>
      </c>
      <c r="L61" s="6">
        <v>77</v>
      </c>
      <c r="M61" s="6">
        <v>2026</v>
      </c>
      <c r="N61" s="6"/>
      <c r="O61" s="5" t="s">
        <v>146</v>
      </c>
      <c r="P61" s="5"/>
      <c r="Q61" s="3"/>
      <c r="R61" s="4" t="s">
        <v>31</v>
      </c>
      <c r="S61" s="3" t="s">
        <v>32</v>
      </c>
      <c r="T61" s="4" t="s">
        <v>33</v>
      </c>
      <c r="U61" s="3" t="s">
        <v>34</v>
      </c>
      <c r="V61" s="4" t="s">
        <v>35</v>
      </c>
    </row>
    <row r="62" spans="1:22" ht="29.25" customHeight="1">
      <c r="A62" s="3" t="s">
        <v>176</v>
      </c>
      <c r="B62" s="4" t="s">
        <v>22</v>
      </c>
      <c r="C62" s="4" t="s">
        <v>142</v>
      </c>
      <c r="D62" s="4" t="s">
        <v>177</v>
      </c>
      <c r="E62" s="4"/>
      <c r="F62" s="5" t="s">
        <v>144</v>
      </c>
      <c r="G62" s="3" t="s">
        <v>44</v>
      </c>
      <c r="H62" s="3">
        <v>10</v>
      </c>
      <c r="I62" s="3">
        <v>10</v>
      </c>
      <c r="J62" s="3" t="s">
        <v>27</v>
      </c>
      <c r="K62" s="3" t="s">
        <v>145</v>
      </c>
      <c r="L62" s="6">
        <v>77</v>
      </c>
      <c r="M62" s="6">
        <v>2026</v>
      </c>
      <c r="N62" s="6"/>
      <c r="O62" s="5" t="s">
        <v>146</v>
      </c>
      <c r="P62" s="5"/>
      <c r="Q62" s="3"/>
      <c r="R62" s="4" t="s">
        <v>31</v>
      </c>
      <c r="S62" s="3" t="s">
        <v>32</v>
      </c>
      <c r="T62" s="4" t="s">
        <v>33</v>
      </c>
      <c r="U62" s="3" t="s">
        <v>34</v>
      </c>
      <c r="V62" s="4" t="s">
        <v>35</v>
      </c>
    </row>
    <row r="63" spans="1:22" ht="29.25" customHeight="1">
      <c r="A63" s="3" t="s">
        <v>178</v>
      </c>
      <c r="B63" s="4" t="s">
        <v>22</v>
      </c>
      <c r="C63" s="4" t="s">
        <v>142</v>
      </c>
      <c r="D63" s="4" t="s">
        <v>179</v>
      </c>
      <c r="E63" s="4"/>
      <c r="F63" s="5" t="s">
        <v>144</v>
      </c>
      <c r="G63" s="3" t="s">
        <v>44</v>
      </c>
      <c r="H63" s="3">
        <v>5</v>
      </c>
      <c r="I63" s="3">
        <v>5</v>
      </c>
      <c r="J63" s="3" t="s">
        <v>27</v>
      </c>
      <c r="K63" s="3" t="s">
        <v>145</v>
      </c>
      <c r="L63" s="6">
        <v>77</v>
      </c>
      <c r="M63" s="6">
        <v>2026</v>
      </c>
      <c r="N63" s="6"/>
      <c r="O63" s="5" t="s">
        <v>160</v>
      </c>
      <c r="P63" s="5" t="s">
        <v>161</v>
      </c>
      <c r="Q63" s="3"/>
      <c r="R63" s="4" t="s">
        <v>31</v>
      </c>
      <c r="S63" s="3" t="s">
        <v>32</v>
      </c>
      <c r="T63" s="4" t="s">
        <v>33</v>
      </c>
      <c r="U63" s="3" t="s">
        <v>34</v>
      </c>
      <c r="V63" s="4" t="s">
        <v>35</v>
      </c>
    </row>
    <row r="64" spans="1:22" ht="29.25" customHeight="1">
      <c r="A64" s="3" t="s">
        <v>180</v>
      </c>
      <c r="B64" s="4" t="s">
        <v>22</v>
      </c>
      <c r="C64" s="4" t="s">
        <v>142</v>
      </c>
      <c r="D64" s="4" t="s">
        <v>181</v>
      </c>
      <c r="E64" s="4"/>
      <c r="F64" s="5" t="s">
        <v>144</v>
      </c>
      <c r="G64" s="3" t="s">
        <v>44</v>
      </c>
      <c r="H64" s="3">
        <v>10</v>
      </c>
      <c r="I64" s="3">
        <v>10</v>
      </c>
      <c r="J64" s="3" t="s">
        <v>27</v>
      </c>
      <c r="K64" s="3" t="s">
        <v>145</v>
      </c>
      <c r="L64" s="6">
        <v>77</v>
      </c>
      <c r="M64" s="6">
        <v>2026</v>
      </c>
      <c r="N64" s="6"/>
      <c r="O64" s="5" t="s">
        <v>146</v>
      </c>
      <c r="P64" s="5"/>
      <c r="Q64" s="3"/>
      <c r="R64" s="4" t="s">
        <v>31</v>
      </c>
      <c r="S64" s="3" t="s">
        <v>32</v>
      </c>
      <c r="T64" s="4" t="s">
        <v>33</v>
      </c>
      <c r="U64" s="3" t="s">
        <v>34</v>
      </c>
      <c r="V64" s="4" t="s">
        <v>35</v>
      </c>
    </row>
    <row r="65" spans="1:22" ht="29.25" customHeight="1">
      <c r="A65" s="3" t="s">
        <v>182</v>
      </c>
      <c r="B65" s="4" t="s">
        <v>22</v>
      </c>
      <c r="C65" s="4" t="s">
        <v>142</v>
      </c>
      <c r="D65" s="4" t="s">
        <v>183</v>
      </c>
      <c r="E65" s="4"/>
      <c r="F65" s="5" t="s">
        <v>144</v>
      </c>
      <c r="G65" s="3" t="s">
        <v>44</v>
      </c>
      <c r="H65" s="3">
        <v>5</v>
      </c>
      <c r="I65" s="3">
        <v>5</v>
      </c>
      <c r="J65" s="3" t="s">
        <v>27</v>
      </c>
      <c r="K65" s="3" t="s">
        <v>145</v>
      </c>
      <c r="L65" s="6">
        <v>77</v>
      </c>
      <c r="M65" s="6">
        <v>2026</v>
      </c>
      <c r="N65" s="6"/>
      <c r="O65" s="5" t="s">
        <v>146</v>
      </c>
      <c r="P65" s="5"/>
      <c r="Q65" s="3"/>
      <c r="R65" s="4" t="s">
        <v>31</v>
      </c>
      <c r="S65" s="3" t="s">
        <v>32</v>
      </c>
      <c r="T65" s="4" t="s">
        <v>33</v>
      </c>
      <c r="U65" s="3" t="s">
        <v>34</v>
      </c>
      <c r="V65" s="4" t="s">
        <v>35</v>
      </c>
    </row>
    <row r="66" spans="1:22" ht="29.25" customHeight="1">
      <c r="A66" s="3" t="s">
        <v>184</v>
      </c>
      <c r="B66" s="4" t="s">
        <v>22</v>
      </c>
      <c r="C66" s="4" t="s">
        <v>142</v>
      </c>
      <c r="D66" s="4" t="s">
        <v>185</v>
      </c>
      <c r="E66" s="4"/>
      <c r="F66" s="5" t="s">
        <v>144</v>
      </c>
      <c r="G66" s="3" t="s">
        <v>44</v>
      </c>
      <c r="H66" s="3">
        <v>28</v>
      </c>
      <c r="I66" s="3">
        <v>28</v>
      </c>
      <c r="J66" s="3" t="s">
        <v>27</v>
      </c>
      <c r="K66" s="3" t="s">
        <v>145</v>
      </c>
      <c r="L66" s="6">
        <v>77</v>
      </c>
      <c r="M66" s="6">
        <v>2026</v>
      </c>
      <c r="N66" s="6"/>
      <c r="O66" s="5" t="s">
        <v>146</v>
      </c>
      <c r="P66" s="5"/>
      <c r="Q66" s="3"/>
      <c r="R66" s="4" t="s">
        <v>31</v>
      </c>
      <c r="S66" s="3" t="s">
        <v>32</v>
      </c>
      <c r="T66" s="4" t="s">
        <v>33</v>
      </c>
      <c r="U66" s="3" t="s">
        <v>34</v>
      </c>
      <c r="V66" s="4" t="s">
        <v>35</v>
      </c>
    </row>
    <row r="67" spans="1:22" ht="29.25" customHeight="1">
      <c r="A67" s="3" t="s">
        <v>186</v>
      </c>
      <c r="B67" s="4" t="s">
        <v>22</v>
      </c>
      <c r="C67" s="4" t="s">
        <v>142</v>
      </c>
      <c r="D67" s="4" t="s">
        <v>187</v>
      </c>
      <c r="E67" s="4"/>
      <c r="F67" s="5" t="s">
        <v>144</v>
      </c>
      <c r="G67" s="3" t="s">
        <v>44</v>
      </c>
      <c r="H67" s="3">
        <v>5</v>
      </c>
      <c r="I67" s="3">
        <v>5</v>
      </c>
      <c r="J67" s="3" t="s">
        <v>27</v>
      </c>
      <c r="K67" s="3" t="s">
        <v>145</v>
      </c>
      <c r="L67" s="6">
        <v>77</v>
      </c>
      <c r="M67" s="6">
        <v>2026</v>
      </c>
      <c r="N67" s="6"/>
      <c r="O67" s="5" t="s">
        <v>146</v>
      </c>
      <c r="P67" s="5"/>
      <c r="Q67" s="3"/>
      <c r="R67" s="4" t="s">
        <v>31</v>
      </c>
      <c r="S67" s="3" t="s">
        <v>32</v>
      </c>
      <c r="T67" s="4" t="s">
        <v>33</v>
      </c>
      <c r="U67" s="3" t="s">
        <v>34</v>
      </c>
      <c r="V67" s="4" t="s">
        <v>35</v>
      </c>
    </row>
    <row r="68" spans="1:22" ht="29.25" customHeight="1">
      <c r="A68" s="3" t="s">
        <v>188</v>
      </c>
      <c r="B68" s="4" t="s">
        <v>22</v>
      </c>
      <c r="C68" s="4" t="s">
        <v>142</v>
      </c>
      <c r="D68" s="4" t="s">
        <v>189</v>
      </c>
      <c r="E68" s="4"/>
      <c r="F68" s="5" t="s">
        <v>144</v>
      </c>
      <c r="G68" s="3" t="s">
        <v>153</v>
      </c>
      <c r="H68" s="3">
        <v>5</v>
      </c>
      <c r="I68" s="3">
        <v>5</v>
      </c>
      <c r="J68" s="3" t="s">
        <v>27</v>
      </c>
      <c r="K68" s="3" t="s">
        <v>145</v>
      </c>
      <c r="L68" s="6">
        <v>77</v>
      </c>
      <c r="M68" s="6">
        <v>2026</v>
      </c>
      <c r="N68" s="6"/>
      <c r="O68" s="5" t="s">
        <v>146</v>
      </c>
      <c r="P68" s="5"/>
      <c r="Q68" s="3"/>
      <c r="R68" s="4" t="s">
        <v>31</v>
      </c>
      <c r="S68" s="3" t="s">
        <v>32</v>
      </c>
      <c r="T68" s="4" t="s">
        <v>33</v>
      </c>
      <c r="U68" s="3" t="s">
        <v>34</v>
      </c>
      <c r="V68" s="4" t="s">
        <v>35</v>
      </c>
    </row>
    <row r="69" spans="1:22" ht="29.25" customHeight="1">
      <c r="A69" s="3" t="s">
        <v>190</v>
      </c>
      <c r="B69" s="4" t="s">
        <v>22</v>
      </c>
      <c r="C69" s="4" t="s">
        <v>23</v>
      </c>
      <c r="D69" s="4" t="s">
        <v>191</v>
      </c>
      <c r="E69" s="4"/>
      <c r="F69" s="5" t="s">
        <v>192</v>
      </c>
      <c r="G69" s="4" t="s">
        <v>26</v>
      </c>
      <c r="H69" s="3">
        <v>5</v>
      </c>
      <c r="I69" s="3">
        <v>5</v>
      </c>
      <c r="J69" s="3" t="s">
        <v>27</v>
      </c>
      <c r="K69" s="3" t="s">
        <v>28</v>
      </c>
      <c r="L69" s="6">
        <v>78</v>
      </c>
      <c r="M69" s="6">
        <v>2026</v>
      </c>
      <c r="N69" s="6"/>
      <c r="O69" s="5" t="s">
        <v>146</v>
      </c>
      <c r="P69" s="5"/>
      <c r="Q69" s="3"/>
      <c r="R69" s="4" t="s">
        <v>55</v>
      </c>
      <c r="S69" s="3" t="s">
        <v>32</v>
      </c>
      <c r="T69" s="4" t="s">
        <v>33</v>
      </c>
      <c r="U69" s="3" t="s">
        <v>34</v>
      </c>
      <c r="V69" s="4" t="s">
        <v>35</v>
      </c>
    </row>
    <row r="70" spans="1:22" ht="29.25" customHeight="1">
      <c r="A70" s="3" t="s">
        <v>193</v>
      </c>
      <c r="B70" s="4" t="s">
        <v>22</v>
      </c>
      <c r="C70" s="4" t="s">
        <v>23</v>
      </c>
      <c r="D70" s="4" t="s">
        <v>191</v>
      </c>
      <c r="E70" s="4"/>
      <c r="F70" s="5" t="s">
        <v>194</v>
      </c>
      <c r="G70" s="4" t="s">
        <v>26</v>
      </c>
      <c r="H70" s="3">
        <v>10</v>
      </c>
      <c r="I70" s="3">
        <v>10</v>
      </c>
      <c r="J70" s="3" t="s">
        <v>27</v>
      </c>
      <c r="K70" s="3" t="s">
        <v>28</v>
      </c>
      <c r="L70" s="6">
        <v>78</v>
      </c>
      <c r="M70" s="6">
        <v>2026</v>
      </c>
      <c r="N70" s="6"/>
      <c r="O70" s="5" t="s">
        <v>146</v>
      </c>
      <c r="P70" s="5"/>
      <c r="Q70" s="3"/>
      <c r="R70" s="4" t="s">
        <v>55</v>
      </c>
      <c r="S70" s="3" t="s">
        <v>32</v>
      </c>
      <c r="T70" s="4" t="s">
        <v>33</v>
      </c>
      <c r="U70" s="3" t="s">
        <v>34</v>
      </c>
      <c r="V70" s="4" t="s">
        <v>35</v>
      </c>
    </row>
    <row r="71" spans="1:22" ht="29.25" customHeight="1">
      <c r="A71" s="3" t="s">
        <v>195</v>
      </c>
      <c r="B71" s="4" t="s">
        <v>22</v>
      </c>
      <c r="C71" s="4" t="s">
        <v>23</v>
      </c>
      <c r="D71" s="4" t="s">
        <v>196</v>
      </c>
      <c r="E71" s="4"/>
      <c r="F71" s="5" t="s">
        <v>197</v>
      </c>
      <c r="G71" s="4" t="s">
        <v>198</v>
      </c>
      <c r="H71" s="3">
        <v>3</v>
      </c>
      <c r="I71" s="3">
        <v>3</v>
      </c>
      <c r="J71" s="3" t="s">
        <v>27</v>
      </c>
      <c r="K71" s="3" t="s">
        <v>28</v>
      </c>
      <c r="L71" s="6">
        <v>78</v>
      </c>
      <c r="M71" s="6">
        <v>2026</v>
      </c>
      <c r="N71" s="6"/>
      <c r="O71" s="5" t="s">
        <v>146</v>
      </c>
      <c r="P71" s="5"/>
      <c r="Q71" s="3"/>
      <c r="R71" s="4" t="s">
        <v>55</v>
      </c>
      <c r="S71" s="3" t="s">
        <v>32</v>
      </c>
      <c r="T71" s="4" t="s">
        <v>33</v>
      </c>
      <c r="U71" s="3" t="s">
        <v>34</v>
      </c>
      <c r="V71" s="4" t="s">
        <v>35</v>
      </c>
    </row>
    <row r="72" spans="1:22" ht="29.25" customHeight="1">
      <c r="A72" s="3" t="s">
        <v>199</v>
      </c>
      <c r="B72" s="4" t="s">
        <v>22</v>
      </c>
      <c r="C72" s="4" t="s">
        <v>23</v>
      </c>
      <c r="D72" s="4" t="s">
        <v>196</v>
      </c>
      <c r="E72" s="4"/>
      <c r="F72" s="5" t="s">
        <v>200</v>
      </c>
      <c r="G72" s="4" t="s">
        <v>198</v>
      </c>
      <c r="H72" s="3">
        <v>5</v>
      </c>
      <c r="I72" s="3">
        <v>5</v>
      </c>
      <c r="J72" s="3" t="s">
        <v>27</v>
      </c>
      <c r="K72" s="3" t="s">
        <v>28</v>
      </c>
      <c r="L72" s="6">
        <v>78</v>
      </c>
      <c r="M72" s="6">
        <v>2026</v>
      </c>
      <c r="N72" s="6"/>
      <c r="O72" s="5" t="s">
        <v>146</v>
      </c>
      <c r="P72" s="5"/>
      <c r="Q72" s="3"/>
      <c r="R72" s="4" t="s">
        <v>55</v>
      </c>
      <c r="S72" s="3" t="s">
        <v>32</v>
      </c>
      <c r="T72" s="4" t="s">
        <v>33</v>
      </c>
      <c r="U72" s="3" t="s">
        <v>34</v>
      </c>
      <c r="V72" s="4" t="s">
        <v>35</v>
      </c>
    </row>
    <row r="73" spans="1:22" ht="29.25" customHeight="1">
      <c r="A73" s="3" t="s">
        <v>201</v>
      </c>
      <c r="B73" s="4" t="s">
        <v>22</v>
      </c>
      <c r="C73" s="4" t="s">
        <v>23</v>
      </c>
      <c r="D73" s="4" t="s">
        <v>202</v>
      </c>
      <c r="E73" s="4"/>
      <c r="F73" s="5"/>
      <c r="G73" s="3" t="s">
        <v>203</v>
      </c>
      <c r="H73" s="3">
        <v>8</v>
      </c>
      <c r="I73" s="3">
        <v>8</v>
      </c>
      <c r="J73" s="3" t="s">
        <v>27</v>
      </c>
      <c r="K73" s="3" t="s">
        <v>28</v>
      </c>
      <c r="L73" s="6">
        <v>78</v>
      </c>
      <c r="M73" s="6">
        <v>2026</v>
      </c>
      <c r="N73" s="6"/>
      <c r="O73" s="5" t="s">
        <v>146</v>
      </c>
      <c r="P73" s="5"/>
      <c r="Q73" s="3"/>
      <c r="R73" s="4" t="s">
        <v>55</v>
      </c>
      <c r="S73" s="3" t="s">
        <v>32</v>
      </c>
      <c r="T73" s="4" t="s">
        <v>33</v>
      </c>
      <c r="U73" s="3" t="s">
        <v>34</v>
      </c>
      <c r="V73" s="4" t="s">
        <v>35</v>
      </c>
    </row>
    <row r="74" spans="1:22" ht="29.25" customHeight="1">
      <c r="A74" s="3" t="s">
        <v>204</v>
      </c>
      <c r="B74" s="4" t="s">
        <v>22</v>
      </c>
      <c r="C74" s="4" t="s">
        <v>23</v>
      </c>
      <c r="D74" s="3" t="s">
        <v>205</v>
      </c>
      <c r="E74" s="3"/>
      <c r="F74" s="5"/>
      <c r="G74" s="3" t="s">
        <v>203</v>
      </c>
      <c r="H74" s="3">
        <v>5</v>
      </c>
      <c r="I74" s="3">
        <v>5</v>
      </c>
      <c r="J74" s="3" t="s">
        <v>27</v>
      </c>
      <c r="K74" s="3" t="s">
        <v>28</v>
      </c>
      <c r="L74" s="6">
        <v>78</v>
      </c>
      <c r="M74" s="6">
        <v>2026</v>
      </c>
      <c r="N74" s="6"/>
      <c r="O74" s="5" t="s">
        <v>160</v>
      </c>
      <c r="P74" s="5" t="s">
        <v>161</v>
      </c>
      <c r="Q74" s="3"/>
      <c r="R74" s="4" t="s">
        <v>55</v>
      </c>
      <c r="S74" s="3" t="s">
        <v>32</v>
      </c>
      <c r="T74" s="4" t="s">
        <v>33</v>
      </c>
      <c r="U74" s="3" t="s">
        <v>34</v>
      </c>
      <c r="V74" s="4" t="s">
        <v>35</v>
      </c>
    </row>
    <row r="75" spans="1:22" ht="29.25" customHeight="1">
      <c r="A75" s="3" t="s">
        <v>206</v>
      </c>
      <c r="B75" s="4" t="s">
        <v>22</v>
      </c>
      <c r="C75" s="4" t="s">
        <v>23</v>
      </c>
      <c r="D75" s="3" t="s">
        <v>207</v>
      </c>
      <c r="E75" s="3"/>
      <c r="F75" s="5"/>
      <c r="G75" s="3" t="s">
        <v>203</v>
      </c>
      <c r="H75" s="3">
        <v>5</v>
      </c>
      <c r="I75" s="3">
        <v>5</v>
      </c>
      <c r="J75" s="3" t="s">
        <v>27</v>
      </c>
      <c r="K75" s="3" t="s">
        <v>28</v>
      </c>
      <c r="L75" s="6">
        <v>78</v>
      </c>
      <c r="M75" s="6">
        <v>2026</v>
      </c>
      <c r="N75" s="6"/>
      <c r="O75" s="5" t="s">
        <v>160</v>
      </c>
      <c r="P75" s="5" t="s">
        <v>161</v>
      </c>
      <c r="Q75" s="3"/>
      <c r="R75" s="4" t="s">
        <v>55</v>
      </c>
      <c r="S75" s="3" t="s">
        <v>32</v>
      </c>
      <c r="T75" s="4" t="s">
        <v>33</v>
      </c>
      <c r="U75" s="3" t="s">
        <v>34</v>
      </c>
      <c r="V75" s="4" t="s">
        <v>35</v>
      </c>
    </row>
    <row r="76" spans="1:22" ht="29.25" customHeight="1">
      <c r="A76" s="3" t="s">
        <v>208</v>
      </c>
      <c r="B76" s="4" t="s">
        <v>22</v>
      </c>
      <c r="C76" s="4" t="s">
        <v>23</v>
      </c>
      <c r="D76" s="4" t="s">
        <v>209</v>
      </c>
      <c r="E76" s="4"/>
      <c r="F76" s="5"/>
      <c r="G76" s="4" t="s">
        <v>210</v>
      </c>
      <c r="H76" s="3">
        <v>3</v>
      </c>
      <c r="I76" s="3">
        <v>3</v>
      </c>
      <c r="J76" s="3" t="s">
        <v>27</v>
      </c>
      <c r="K76" s="3" t="s">
        <v>28</v>
      </c>
      <c r="L76" s="6">
        <v>78</v>
      </c>
      <c r="M76" s="6">
        <v>2026</v>
      </c>
      <c r="N76" s="6"/>
      <c r="O76" s="5" t="s">
        <v>146</v>
      </c>
      <c r="P76" s="5" t="s">
        <v>211</v>
      </c>
      <c r="Q76" s="4" t="s">
        <v>212</v>
      </c>
      <c r="R76" s="4" t="s">
        <v>55</v>
      </c>
      <c r="S76" s="3" t="s">
        <v>213</v>
      </c>
      <c r="T76" s="4" t="s">
        <v>33</v>
      </c>
      <c r="U76" s="3" t="s">
        <v>34</v>
      </c>
      <c r="V76" s="4" t="s">
        <v>35</v>
      </c>
    </row>
    <row r="77" spans="1:22" ht="29.25" customHeight="1">
      <c r="A77" s="3" t="s">
        <v>214</v>
      </c>
      <c r="B77" s="4" t="s">
        <v>22</v>
      </c>
      <c r="C77" s="4" t="s">
        <v>23</v>
      </c>
      <c r="D77" s="4" t="s">
        <v>215</v>
      </c>
      <c r="E77" s="4"/>
      <c r="F77" s="7" t="s">
        <v>216</v>
      </c>
      <c r="G77" s="4" t="s">
        <v>210</v>
      </c>
      <c r="H77" s="3">
        <v>3</v>
      </c>
      <c r="I77" s="3">
        <v>3</v>
      </c>
      <c r="J77" s="3" t="s">
        <v>27</v>
      </c>
      <c r="K77" s="3" t="s">
        <v>28</v>
      </c>
      <c r="L77" s="6">
        <v>78</v>
      </c>
      <c r="M77" s="6">
        <v>2026</v>
      </c>
      <c r="N77" s="6"/>
      <c r="O77" s="5" t="s">
        <v>146</v>
      </c>
      <c r="P77" s="7"/>
      <c r="Q77" s="4" t="s">
        <v>217</v>
      </c>
      <c r="R77" s="4" t="s">
        <v>55</v>
      </c>
      <c r="S77" s="3" t="s">
        <v>32</v>
      </c>
      <c r="T77" s="4" t="s">
        <v>33</v>
      </c>
      <c r="U77" s="3" t="s">
        <v>34</v>
      </c>
      <c r="V77" s="4" t="s">
        <v>35</v>
      </c>
    </row>
    <row r="78" spans="1:22" ht="29.25" customHeight="1">
      <c r="A78" s="3" t="s">
        <v>218</v>
      </c>
      <c r="B78" s="4" t="s">
        <v>22</v>
      </c>
      <c r="C78" s="4" t="s">
        <v>23</v>
      </c>
      <c r="D78" s="4" t="s">
        <v>219</v>
      </c>
      <c r="E78" s="4"/>
      <c r="F78" s="7"/>
      <c r="G78" s="3" t="s">
        <v>50</v>
      </c>
      <c r="H78" s="3">
        <v>2</v>
      </c>
      <c r="I78" s="3">
        <v>2</v>
      </c>
      <c r="J78" s="3" t="s">
        <v>27</v>
      </c>
      <c r="K78" s="3" t="s">
        <v>28</v>
      </c>
      <c r="L78" s="6">
        <v>78</v>
      </c>
      <c r="M78" s="6">
        <v>2026</v>
      </c>
      <c r="N78" s="6"/>
      <c r="O78" s="5" t="s">
        <v>146</v>
      </c>
      <c r="P78" s="7"/>
      <c r="Q78" s="4" t="s">
        <v>220</v>
      </c>
      <c r="R78" s="4" t="s">
        <v>55</v>
      </c>
      <c r="S78" s="3" t="s">
        <v>32</v>
      </c>
      <c r="T78" s="4" t="s">
        <v>33</v>
      </c>
      <c r="U78" s="3" t="s">
        <v>34</v>
      </c>
      <c r="V78" s="4" t="s">
        <v>35</v>
      </c>
    </row>
    <row r="79" spans="1:22" ht="29.25" customHeight="1">
      <c r="A79" s="3" t="s">
        <v>221</v>
      </c>
      <c r="B79" s="4" t="s">
        <v>22</v>
      </c>
      <c r="C79" s="4" t="s">
        <v>23</v>
      </c>
      <c r="D79" s="4" t="s">
        <v>222</v>
      </c>
      <c r="E79" s="4"/>
      <c r="F79" s="5" t="s">
        <v>223</v>
      </c>
      <c r="G79" s="4" t="s">
        <v>224</v>
      </c>
      <c r="H79" s="3">
        <v>3</v>
      </c>
      <c r="I79" s="3">
        <v>3</v>
      </c>
      <c r="J79" s="3" t="s">
        <v>27</v>
      </c>
      <c r="K79" s="3" t="s">
        <v>28</v>
      </c>
      <c r="L79" s="6">
        <v>78</v>
      </c>
      <c r="M79" s="6">
        <v>2026</v>
      </c>
      <c r="N79" s="6"/>
      <c r="O79" s="5" t="s">
        <v>146</v>
      </c>
      <c r="P79" s="7"/>
      <c r="Q79" s="3"/>
      <c r="R79" s="4" t="s">
        <v>55</v>
      </c>
      <c r="S79" s="3" t="s">
        <v>32</v>
      </c>
      <c r="T79" s="4" t="s">
        <v>33</v>
      </c>
      <c r="U79" s="3" t="s">
        <v>34</v>
      </c>
      <c r="V79" s="4" t="s">
        <v>225</v>
      </c>
    </row>
    <row r="80" spans="1:22" ht="29.25" customHeight="1">
      <c r="A80" s="3" t="s">
        <v>226</v>
      </c>
      <c r="B80" s="4" t="s">
        <v>22</v>
      </c>
      <c r="C80" s="4" t="s">
        <v>23</v>
      </c>
      <c r="D80" s="4" t="s">
        <v>222</v>
      </c>
      <c r="E80" s="4"/>
      <c r="F80" s="5" t="s">
        <v>227</v>
      </c>
      <c r="G80" s="4" t="s">
        <v>224</v>
      </c>
      <c r="H80" s="3">
        <v>5</v>
      </c>
      <c r="I80" s="3">
        <v>5</v>
      </c>
      <c r="J80" s="3" t="s">
        <v>27</v>
      </c>
      <c r="K80" s="3" t="s">
        <v>28</v>
      </c>
      <c r="L80" s="6">
        <v>78</v>
      </c>
      <c r="M80" s="6">
        <v>2026</v>
      </c>
      <c r="N80" s="6"/>
      <c r="O80" s="5" t="s">
        <v>146</v>
      </c>
      <c r="P80" s="7"/>
      <c r="Q80" s="3"/>
      <c r="R80" s="4" t="s">
        <v>55</v>
      </c>
      <c r="S80" s="3" t="s">
        <v>32</v>
      </c>
      <c r="T80" s="4" t="s">
        <v>33</v>
      </c>
      <c r="U80" s="3" t="s">
        <v>34</v>
      </c>
      <c r="V80" s="4" t="s">
        <v>35</v>
      </c>
    </row>
    <row r="81" spans="1:22" ht="29.25" customHeight="1">
      <c r="A81" s="3" t="s">
        <v>228</v>
      </c>
      <c r="B81" s="4" t="s">
        <v>22</v>
      </c>
      <c r="C81" s="4" t="s">
        <v>23</v>
      </c>
      <c r="D81" s="4" t="s">
        <v>222</v>
      </c>
      <c r="E81" s="4"/>
      <c r="F81" s="5" t="s">
        <v>229</v>
      </c>
      <c r="G81" s="4" t="s">
        <v>224</v>
      </c>
      <c r="H81" s="3">
        <v>3</v>
      </c>
      <c r="I81" s="3">
        <v>3</v>
      </c>
      <c r="J81" s="3" t="s">
        <v>27</v>
      </c>
      <c r="K81" s="3" t="s">
        <v>28</v>
      </c>
      <c r="L81" s="6">
        <v>78</v>
      </c>
      <c r="M81" s="6">
        <v>2026</v>
      </c>
      <c r="N81" s="6"/>
      <c r="O81" s="5" t="s">
        <v>146</v>
      </c>
      <c r="P81" s="7"/>
      <c r="Q81" s="3"/>
      <c r="R81" s="4" t="s">
        <v>55</v>
      </c>
      <c r="S81" s="3" t="s">
        <v>32</v>
      </c>
      <c r="T81" s="4" t="s">
        <v>33</v>
      </c>
      <c r="U81" s="3" t="s">
        <v>34</v>
      </c>
      <c r="V81" s="4" t="s">
        <v>35</v>
      </c>
    </row>
    <row r="82" spans="1:22" ht="29.25" customHeight="1">
      <c r="A82" s="3" t="s">
        <v>230</v>
      </c>
      <c r="B82" s="4" t="s">
        <v>22</v>
      </c>
      <c r="C82" s="4" t="s">
        <v>23</v>
      </c>
      <c r="D82" s="4" t="s">
        <v>222</v>
      </c>
      <c r="E82" s="4"/>
      <c r="F82" s="5" t="s">
        <v>231</v>
      </c>
      <c r="G82" s="4" t="s">
        <v>224</v>
      </c>
      <c r="H82" s="3">
        <v>3</v>
      </c>
      <c r="I82" s="3">
        <v>3</v>
      </c>
      <c r="J82" s="3" t="s">
        <v>27</v>
      </c>
      <c r="K82" s="3" t="s">
        <v>28</v>
      </c>
      <c r="L82" s="6">
        <v>78</v>
      </c>
      <c r="M82" s="6">
        <v>2026</v>
      </c>
      <c r="N82" s="6"/>
      <c r="O82" s="5" t="s">
        <v>146</v>
      </c>
      <c r="P82" s="7"/>
      <c r="Q82" s="3"/>
      <c r="R82" s="4" t="s">
        <v>55</v>
      </c>
      <c r="S82" s="3" t="s">
        <v>32</v>
      </c>
      <c r="T82" s="4" t="s">
        <v>33</v>
      </c>
      <c r="U82" s="3" t="s">
        <v>34</v>
      </c>
      <c r="V82" s="4" t="s">
        <v>35</v>
      </c>
    </row>
    <row r="83" spans="1:22" ht="29.25" customHeight="1">
      <c r="A83" s="3" t="s">
        <v>232</v>
      </c>
      <c r="B83" s="4" t="s">
        <v>22</v>
      </c>
      <c r="C83" s="4" t="s">
        <v>23</v>
      </c>
      <c r="D83" s="4" t="s">
        <v>222</v>
      </c>
      <c r="E83" s="4"/>
      <c r="F83" s="5" t="s">
        <v>233</v>
      </c>
      <c r="G83" s="4" t="s">
        <v>224</v>
      </c>
      <c r="H83" s="3">
        <v>4</v>
      </c>
      <c r="I83" s="3">
        <v>4</v>
      </c>
      <c r="J83" s="3" t="s">
        <v>27</v>
      </c>
      <c r="K83" s="3" t="s">
        <v>28</v>
      </c>
      <c r="L83" s="6">
        <v>78</v>
      </c>
      <c r="M83" s="6">
        <v>2026</v>
      </c>
      <c r="N83" s="6"/>
      <c r="O83" s="5" t="s">
        <v>146</v>
      </c>
      <c r="P83" s="7"/>
      <c r="Q83" s="3"/>
      <c r="R83" s="4" t="s">
        <v>55</v>
      </c>
      <c r="S83" s="3" t="s">
        <v>32</v>
      </c>
      <c r="T83" s="4" t="s">
        <v>33</v>
      </c>
      <c r="U83" s="3" t="s">
        <v>34</v>
      </c>
      <c r="V83" s="4" t="s">
        <v>35</v>
      </c>
    </row>
    <row r="84" spans="1:22" ht="29.25" customHeight="1">
      <c r="A84" s="3" t="s">
        <v>234</v>
      </c>
      <c r="B84" s="4" t="s">
        <v>22</v>
      </c>
      <c r="C84" s="4" t="s">
        <v>23</v>
      </c>
      <c r="D84" s="4" t="s">
        <v>222</v>
      </c>
      <c r="E84" s="4"/>
      <c r="F84" s="5" t="s">
        <v>235</v>
      </c>
      <c r="G84" s="4" t="s">
        <v>224</v>
      </c>
      <c r="H84" s="3">
        <v>5</v>
      </c>
      <c r="I84" s="3">
        <v>5</v>
      </c>
      <c r="J84" s="3" t="s">
        <v>27</v>
      </c>
      <c r="K84" s="3" t="s">
        <v>28</v>
      </c>
      <c r="L84" s="6">
        <v>78</v>
      </c>
      <c r="M84" s="6">
        <v>2026</v>
      </c>
      <c r="N84" s="6"/>
      <c r="O84" s="5" t="s">
        <v>146</v>
      </c>
      <c r="P84" s="7"/>
      <c r="Q84" s="3"/>
      <c r="R84" s="4" t="s">
        <v>55</v>
      </c>
      <c r="S84" s="3" t="s">
        <v>32</v>
      </c>
      <c r="T84" s="4" t="s">
        <v>33</v>
      </c>
      <c r="U84" s="3" t="s">
        <v>34</v>
      </c>
      <c r="V84" s="4" t="s">
        <v>35</v>
      </c>
    </row>
    <row r="85" spans="1:22" ht="29.25" customHeight="1">
      <c r="A85" s="3" t="s">
        <v>236</v>
      </c>
      <c r="B85" s="4" t="s">
        <v>22</v>
      </c>
      <c r="C85" s="4" t="s">
        <v>23</v>
      </c>
      <c r="D85" s="4" t="s">
        <v>237</v>
      </c>
      <c r="E85" s="4"/>
      <c r="F85" s="5" t="s">
        <v>238</v>
      </c>
      <c r="G85" s="4" t="s">
        <v>224</v>
      </c>
      <c r="H85" s="3">
        <v>30</v>
      </c>
      <c r="I85" s="3">
        <v>30</v>
      </c>
      <c r="J85" s="3" t="s">
        <v>27</v>
      </c>
      <c r="K85" s="3" t="s">
        <v>28</v>
      </c>
      <c r="L85" s="6">
        <v>78</v>
      </c>
      <c r="M85" s="6">
        <v>2026</v>
      </c>
      <c r="N85" s="6"/>
      <c r="O85" s="5" t="s">
        <v>146</v>
      </c>
      <c r="P85" s="7"/>
      <c r="Q85" s="3"/>
      <c r="R85" s="4" t="s">
        <v>55</v>
      </c>
      <c r="S85" s="3" t="s">
        <v>32</v>
      </c>
      <c r="T85" s="4" t="s">
        <v>33</v>
      </c>
      <c r="U85" s="3" t="s">
        <v>34</v>
      </c>
      <c r="V85" s="4" t="s">
        <v>35</v>
      </c>
    </row>
    <row r="86" spans="1:22" ht="29.25" customHeight="1">
      <c r="A86" s="3" t="s">
        <v>239</v>
      </c>
      <c r="B86" s="4" t="s">
        <v>22</v>
      </c>
      <c r="C86" s="4" t="s">
        <v>23</v>
      </c>
      <c r="D86" s="4" t="s">
        <v>240</v>
      </c>
      <c r="E86" s="4"/>
      <c r="F86" s="5" t="s">
        <v>241</v>
      </c>
      <c r="G86" s="4" t="s">
        <v>224</v>
      </c>
      <c r="H86" s="3">
        <v>10</v>
      </c>
      <c r="I86" s="3">
        <v>10</v>
      </c>
      <c r="J86" s="3" t="s">
        <v>27</v>
      </c>
      <c r="K86" s="3" t="s">
        <v>28</v>
      </c>
      <c r="L86" s="6">
        <v>78</v>
      </c>
      <c r="M86" s="6">
        <v>2026</v>
      </c>
      <c r="N86" s="6"/>
      <c r="O86" s="5" t="s">
        <v>146</v>
      </c>
      <c r="P86" s="7"/>
      <c r="Q86" s="3"/>
      <c r="R86" s="4" t="s">
        <v>55</v>
      </c>
      <c r="S86" s="3" t="s">
        <v>32</v>
      </c>
      <c r="T86" s="4" t="s">
        <v>33</v>
      </c>
      <c r="U86" s="3" t="s">
        <v>34</v>
      </c>
      <c r="V86" s="4" t="s">
        <v>35</v>
      </c>
    </row>
    <row r="87" spans="1:22" ht="29.25" customHeight="1">
      <c r="A87" s="3" t="s">
        <v>242</v>
      </c>
      <c r="B87" s="4" t="s">
        <v>22</v>
      </c>
      <c r="C87" s="4" t="s">
        <v>23</v>
      </c>
      <c r="D87" s="4" t="s">
        <v>240</v>
      </c>
      <c r="E87" s="4"/>
      <c r="F87" s="5" t="s">
        <v>243</v>
      </c>
      <c r="G87" s="4" t="s">
        <v>224</v>
      </c>
      <c r="H87" s="3">
        <v>30</v>
      </c>
      <c r="I87" s="3">
        <v>30</v>
      </c>
      <c r="J87" s="3" t="s">
        <v>27</v>
      </c>
      <c r="K87" s="3" t="s">
        <v>28</v>
      </c>
      <c r="L87" s="6">
        <v>78</v>
      </c>
      <c r="M87" s="6">
        <v>2026</v>
      </c>
      <c r="N87" s="6"/>
      <c r="O87" s="5" t="s">
        <v>146</v>
      </c>
      <c r="P87" s="7"/>
      <c r="Q87" s="3"/>
      <c r="R87" s="4" t="s">
        <v>55</v>
      </c>
      <c r="S87" s="3" t="s">
        <v>32</v>
      </c>
      <c r="T87" s="4" t="s">
        <v>33</v>
      </c>
      <c r="U87" s="3" t="s">
        <v>34</v>
      </c>
      <c r="V87" s="4" t="s">
        <v>35</v>
      </c>
    </row>
    <row r="88" spans="1:22" ht="29.25" customHeight="1">
      <c r="A88" s="3" t="s">
        <v>244</v>
      </c>
      <c r="B88" s="4" t="s">
        <v>22</v>
      </c>
      <c r="C88" s="4" t="s">
        <v>23</v>
      </c>
      <c r="D88" s="4" t="s">
        <v>245</v>
      </c>
      <c r="E88" s="4"/>
      <c r="F88" s="7"/>
      <c r="G88" s="4" t="s">
        <v>246</v>
      </c>
      <c r="H88" s="3">
        <v>10</v>
      </c>
      <c r="I88" s="3">
        <v>10</v>
      </c>
      <c r="J88" s="3" t="s">
        <v>27</v>
      </c>
      <c r="K88" s="3" t="s">
        <v>28</v>
      </c>
      <c r="L88" s="6">
        <v>78</v>
      </c>
      <c r="M88" s="6">
        <v>2026</v>
      </c>
      <c r="N88" s="6"/>
      <c r="O88" s="5" t="s">
        <v>146</v>
      </c>
      <c r="P88" s="5" t="s">
        <v>211</v>
      </c>
      <c r="Q88" s="4" t="s">
        <v>247</v>
      </c>
      <c r="R88" s="4" t="s">
        <v>55</v>
      </c>
      <c r="S88" s="3" t="s">
        <v>213</v>
      </c>
      <c r="T88" s="4" t="s">
        <v>33</v>
      </c>
      <c r="U88" s="3" t="s">
        <v>34</v>
      </c>
      <c r="V88" s="4" t="s">
        <v>35</v>
      </c>
    </row>
    <row r="89" spans="1:22" ht="29.25" customHeight="1">
      <c r="A89" s="3" t="s">
        <v>248</v>
      </c>
      <c r="B89" s="4" t="s">
        <v>22</v>
      </c>
      <c r="C89" s="4" t="s">
        <v>23</v>
      </c>
      <c r="D89" s="4" t="s">
        <v>249</v>
      </c>
      <c r="E89" s="4"/>
      <c r="F89" s="7"/>
      <c r="G89" s="4" t="s">
        <v>198</v>
      </c>
      <c r="H89" s="3">
        <v>10</v>
      </c>
      <c r="I89" s="3">
        <v>10</v>
      </c>
      <c r="J89" s="3" t="s">
        <v>27</v>
      </c>
      <c r="K89" s="3" t="s">
        <v>28</v>
      </c>
      <c r="L89" s="6">
        <v>78</v>
      </c>
      <c r="M89" s="6">
        <v>2026</v>
      </c>
      <c r="N89" s="6"/>
      <c r="O89" s="5" t="s">
        <v>146</v>
      </c>
      <c r="P89" s="7"/>
      <c r="Q89" s="3"/>
      <c r="R89" s="4" t="s">
        <v>55</v>
      </c>
      <c r="S89" s="3" t="s">
        <v>32</v>
      </c>
      <c r="T89" s="4" t="s">
        <v>33</v>
      </c>
      <c r="U89" s="3" t="s">
        <v>34</v>
      </c>
      <c r="V89" s="4" t="s">
        <v>35</v>
      </c>
    </row>
    <row r="90" spans="1:22" ht="29.25" customHeight="1">
      <c r="A90" s="3" t="s">
        <v>250</v>
      </c>
      <c r="B90" s="4" t="s">
        <v>22</v>
      </c>
      <c r="C90" s="4" t="s">
        <v>23</v>
      </c>
      <c r="D90" s="4" t="s">
        <v>251</v>
      </c>
      <c r="E90" s="4"/>
      <c r="F90" s="7"/>
      <c r="G90" s="4" t="s">
        <v>198</v>
      </c>
      <c r="H90" s="3">
        <v>10</v>
      </c>
      <c r="I90" s="3">
        <v>10</v>
      </c>
      <c r="J90" s="3" t="s">
        <v>27</v>
      </c>
      <c r="K90" s="3" t="s">
        <v>28</v>
      </c>
      <c r="L90" s="6">
        <v>78</v>
      </c>
      <c r="M90" s="6">
        <v>2026</v>
      </c>
      <c r="N90" s="6"/>
      <c r="O90" s="5" t="s">
        <v>146</v>
      </c>
      <c r="P90" s="7"/>
      <c r="Q90" s="3"/>
      <c r="R90" s="4" t="s">
        <v>55</v>
      </c>
      <c r="S90" s="3" t="s">
        <v>32</v>
      </c>
      <c r="T90" s="4" t="s">
        <v>33</v>
      </c>
      <c r="U90" s="3" t="s">
        <v>34</v>
      </c>
      <c r="V90" s="4" t="s">
        <v>35</v>
      </c>
    </row>
    <row r="91" spans="1:22" ht="29.25" customHeight="1">
      <c r="A91" s="3" t="s">
        <v>252</v>
      </c>
      <c r="B91" s="4" t="s">
        <v>22</v>
      </c>
      <c r="C91" s="4" t="s">
        <v>23</v>
      </c>
      <c r="D91" s="4" t="s">
        <v>24</v>
      </c>
      <c r="E91" s="4"/>
      <c r="F91" s="5" t="s">
        <v>253</v>
      </c>
      <c r="G91" s="4" t="s">
        <v>26</v>
      </c>
      <c r="H91" s="3">
        <v>1</v>
      </c>
      <c r="I91" s="3">
        <v>1</v>
      </c>
      <c r="J91" s="3" t="s">
        <v>27</v>
      </c>
      <c r="K91" s="3" t="s">
        <v>28</v>
      </c>
      <c r="L91" s="6">
        <v>78</v>
      </c>
      <c r="M91" s="6">
        <v>2026</v>
      </c>
      <c r="N91" s="6"/>
      <c r="O91" s="5" t="s">
        <v>254</v>
      </c>
      <c r="P91" s="7"/>
      <c r="Q91" s="3"/>
      <c r="R91" s="4" t="s">
        <v>55</v>
      </c>
      <c r="S91" s="3" t="s">
        <v>32</v>
      </c>
      <c r="T91" s="4" t="s">
        <v>33</v>
      </c>
      <c r="U91" s="3" t="s">
        <v>34</v>
      </c>
      <c r="V91" s="4" t="s">
        <v>35</v>
      </c>
    </row>
    <row r="92" spans="1:22" ht="29.25" customHeight="1">
      <c r="A92" s="3" t="s">
        <v>255</v>
      </c>
      <c r="B92" s="4" t="s">
        <v>22</v>
      </c>
      <c r="C92" s="4" t="s">
        <v>23</v>
      </c>
      <c r="D92" s="4" t="s">
        <v>256</v>
      </c>
      <c r="E92" s="4"/>
      <c r="F92" s="5" t="s">
        <v>257</v>
      </c>
      <c r="G92" s="4" t="s">
        <v>26</v>
      </c>
      <c r="H92" s="3">
        <v>3</v>
      </c>
      <c r="I92" s="3">
        <v>3</v>
      </c>
      <c r="J92" s="3" t="s">
        <v>27</v>
      </c>
      <c r="K92" s="3" t="s">
        <v>28</v>
      </c>
      <c r="L92" s="6">
        <v>78</v>
      </c>
      <c r="M92" s="6">
        <v>2026</v>
      </c>
      <c r="N92" s="6"/>
      <c r="O92" s="5" t="s">
        <v>38</v>
      </c>
      <c r="P92" s="7"/>
      <c r="Q92" s="4" t="s">
        <v>258</v>
      </c>
      <c r="R92" s="4" t="s">
        <v>31</v>
      </c>
      <c r="S92" s="3" t="s">
        <v>32</v>
      </c>
      <c r="T92" s="4" t="s">
        <v>33</v>
      </c>
      <c r="U92" s="3" t="s">
        <v>34</v>
      </c>
      <c r="V92" s="4" t="s">
        <v>35</v>
      </c>
    </row>
    <row r="93" spans="1:22" ht="29.25" customHeight="1">
      <c r="A93" s="3" t="s">
        <v>259</v>
      </c>
      <c r="B93" s="4" t="s">
        <v>22</v>
      </c>
      <c r="C93" s="4" t="s">
        <v>23</v>
      </c>
      <c r="D93" s="4" t="s">
        <v>256</v>
      </c>
      <c r="E93" s="4"/>
      <c r="F93" s="5" t="s">
        <v>37</v>
      </c>
      <c r="G93" s="4" t="s">
        <v>26</v>
      </c>
      <c r="H93" s="3">
        <v>2</v>
      </c>
      <c r="I93" s="3">
        <v>2</v>
      </c>
      <c r="J93" s="3" t="s">
        <v>27</v>
      </c>
      <c r="K93" s="3" t="s">
        <v>28</v>
      </c>
      <c r="L93" s="6">
        <v>78</v>
      </c>
      <c r="M93" s="6">
        <v>2026</v>
      </c>
      <c r="N93" s="6"/>
      <c r="O93" s="5" t="s">
        <v>38</v>
      </c>
      <c r="P93" s="7"/>
      <c r="Q93" s="4" t="s">
        <v>258</v>
      </c>
      <c r="R93" s="4" t="s">
        <v>31</v>
      </c>
      <c r="S93" s="3" t="s">
        <v>32</v>
      </c>
      <c r="T93" s="4" t="s">
        <v>33</v>
      </c>
      <c r="U93" s="3" t="s">
        <v>34</v>
      </c>
      <c r="V93" s="4" t="s">
        <v>35</v>
      </c>
    </row>
    <row r="94" spans="1:22" ht="29.25" customHeight="1">
      <c r="A94" s="3" t="s">
        <v>260</v>
      </c>
      <c r="B94" s="4" t="s">
        <v>22</v>
      </c>
      <c r="C94" s="4" t="s">
        <v>23</v>
      </c>
      <c r="D94" s="4" t="s">
        <v>256</v>
      </c>
      <c r="E94" s="4"/>
      <c r="F94" s="5" t="s">
        <v>261</v>
      </c>
      <c r="G94" s="4" t="s">
        <v>26</v>
      </c>
      <c r="H94" s="3">
        <v>5</v>
      </c>
      <c r="I94" s="3">
        <v>5</v>
      </c>
      <c r="J94" s="3" t="s">
        <v>27</v>
      </c>
      <c r="K94" s="3" t="s">
        <v>28</v>
      </c>
      <c r="L94" s="6">
        <v>78</v>
      </c>
      <c r="M94" s="6">
        <v>2026</v>
      </c>
      <c r="N94" s="6"/>
      <c r="O94" s="5" t="s">
        <v>38</v>
      </c>
      <c r="P94" s="7"/>
      <c r="Q94" s="4" t="s">
        <v>258</v>
      </c>
      <c r="R94" s="4" t="s">
        <v>31</v>
      </c>
      <c r="S94" s="3" t="s">
        <v>32</v>
      </c>
      <c r="T94" s="4" t="s">
        <v>33</v>
      </c>
      <c r="U94" s="3" t="s">
        <v>34</v>
      </c>
      <c r="V94" s="4" t="s">
        <v>35</v>
      </c>
    </row>
    <row r="95" spans="1:22" ht="29.25" customHeight="1">
      <c r="A95" s="3" t="s">
        <v>262</v>
      </c>
      <c r="B95" s="4" t="s">
        <v>22</v>
      </c>
      <c r="C95" s="4" t="s">
        <v>23</v>
      </c>
      <c r="D95" s="4" t="s">
        <v>263</v>
      </c>
      <c r="E95" s="4"/>
      <c r="F95" s="7"/>
      <c r="G95" s="4" t="s">
        <v>198</v>
      </c>
      <c r="H95" s="3">
        <v>3</v>
      </c>
      <c r="I95" s="3">
        <v>3</v>
      </c>
      <c r="J95" s="3" t="s">
        <v>264</v>
      </c>
      <c r="K95" s="3" t="s">
        <v>265</v>
      </c>
      <c r="L95" s="6"/>
      <c r="M95" s="6">
        <v>2026</v>
      </c>
      <c r="N95" s="6"/>
      <c r="O95" s="5" t="s">
        <v>266</v>
      </c>
      <c r="P95" s="7"/>
      <c r="Q95" s="4" t="s">
        <v>267</v>
      </c>
      <c r="R95" s="4" t="s">
        <v>55</v>
      </c>
      <c r="S95" s="3" t="s">
        <v>32</v>
      </c>
      <c r="T95" s="4" t="s">
        <v>33</v>
      </c>
      <c r="U95" s="3" t="s">
        <v>34</v>
      </c>
      <c r="V95" s="4" t="s">
        <v>35</v>
      </c>
    </row>
    <row r="96" spans="1:22" ht="15" customHeight="1">
      <c r="A96" s="8" t="s">
        <v>268</v>
      </c>
      <c r="B96" s="9" t="s">
        <v>22</v>
      </c>
      <c r="C96" s="9" t="s">
        <v>23</v>
      </c>
      <c r="D96" s="9" t="s">
        <v>269</v>
      </c>
      <c r="E96" s="9"/>
      <c r="F96" s="8"/>
      <c r="G96" s="8"/>
      <c r="H96" s="8">
        <v>8</v>
      </c>
      <c r="I96" s="8">
        <v>8</v>
      </c>
      <c r="J96" s="8" t="s">
        <v>27</v>
      </c>
      <c r="K96" s="8" t="s">
        <v>28</v>
      </c>
      <c r="L96" s="8">
        <v>78</v>
      </c>
      <c r="M96" s="8">
        <v>2026</v>
      </c>
      <c r="N96" s="8"/>
      <c r="O96" s="8"/>
      <c r="P96" s="8"/>
      <c r="Q96" s="8"/>
      <c r="R96" s="9" t="s">
        <v>55</v>
      </c>
      <c r="S96" s="8" t="s">
        <v>32</v>
      </c>
      <c r="T96" s="9" t="s">
        <v>33</v>
      </c>
      <c r="U96" s="8" t="s">
        <v>34</v>
      </c>
      <c r="V96" s="4" t="s">
        <v>270</v>
      </c>
    </row>
    <row r="97" spans="1:22" ht="15" customHeight="1">
      <c r="A97" s="8" t="s">
        <v>271</v>
      </c>
      <c r="B97" s="9" t="s">
        <v>22</v>
      </c>
      <c r="C97" s="9" t="s">
        <v>23</v>
      </c>
      <c r="D97" s="9" t="s">
        <v>272</v>
      </c>
      <c r="E97" s="9"/>
      <c r="F97" s="8"/>
      <c r="G97" s="8"/>
      <c r="H97" s="8">
        <v>20</v>
      </c>
      <c r="I97" s="8">
        <v>20</v>
      </c>
      <c r="J97" s="8" t="s">
        <v>27</v>
      </c>
      <c r="K97" s="8" t="s">
        <v>28</v>
      </c>
      <c r="L97" s="8">
        <v>78</v>
      </c>
      <c r="M97" s="8">
        <v>2026</v>
      </c>
      <c r="N97" s="8"/>
      <c r="O97" s="8"/>
      <c r="P97" s="8"/>
      <c r="Q97" s="8"/>
      <c r="R97" s="9" t="s">
        <v>55</v>
      </c>
      <c r="S97" s="8" t="s">
        <v>32</v>
      </c>
      <c r="T97" s="9" t="s">
        <v>33</v>
      </c>
      <c r="U97" s="8" t="s">
        <v>34</v>
      </c>
      <c r="V97" s="4" t="s">
        <v>273</v>
      </c>
    </row>
    <row r="98" spans="1:22" ht="15" customHeight="1">
      <c r="A98" s="8" t="s">
        <v>274</v>
      </c>
      <c r="B98" s="9" t="s">
        <v>22</v>
      </c>
      <c r="C98" s="9" t="s">
        <v>23</v>
      </c>
      <c r="D98" s="9" t="s">
        <v>275</v>
      </c>
      <c r="E98" s="9"/>
      <c r="F98" s="8"/>
      <c r="G98" s="8"/>
      <c r="H98" s="8">
        <v>5</v>
      </c>
      <c r="I98" s="8">
        <v>5</v>
      </c>
      <c r="J98" s="8" t="s">
        <v>27</v>
      </c>
      <c r="K98" s="8" t="s">
        <v>28</v>
      </c>
      <c r="L98" s="8">
        <v>78</v>
      </c>
      <c r="M98" s="8">
        <v>2026</v>
      </c>
      <c r="N98" s="8"/>
      <c r="O98" s="8"/>
      <c r="P98" s="8"/>
      <c r="Q98" s="8"/>
      <c r="R98" s="9" t="s">
        <v>55</v>
      </c>
      <c r="S98" s="8" t="s">
        <v>32</v>
      </c>
      <c r="T98" s="9" t="s">
        <v>33</v>
      </c>
      <c r="U98" s="8" t="s">
        <v>34</v>
      </c>
      <c r="V98" s="4" t="s">
        <v>276</v>
      </c>
    </row>
    <row r="99" spans="1:22" ht="15" customHeight="1">
      <c r="A99" s="8" t="s">
        <v>277</v>
      </c>
      <c r="B99" s="9" t="s">
        <v>22</v>
      </c>
      <c r="C99" s="9" t="s">
        <v>23</v>
      </c>
      <c r="D99" s="9" t="s">
        <v>278</v>
      </c>
      <c r="E99" s="9"/>
      <c r="F99" s="9" t="s">
        <v>279</v>
      </c>
      <c r="G99" s="8"/>
      <c r="H99" s="8">
        <v>5</v>
      </c>
      <c r="I99" s="8">
        <v>5</v>
      </c>
      <c r="J99" s="8" t="s">
        <v>27</v>
      </c>
      <c r="K99" s="8" t="s">
        <v>28</v>
      </c>
      <c r="L99" s="8">
        <v>78</v>
      </c>
      <c r="M99" s="8">
        <v>2026</v>
      </c>
      <c r="N99" s="8"/>
      <c r="O99" s="8"/>
      <c r="P99" s="8"/>
      <c r="Q99" s="8"/>
      <c r="R99" s="9" t="s">
        <v>55</v>
      </c>
      <c r="S99" s="8" t="s">
        <v>32</v>
      </c>
      <c r="T99" s="9" t="s">
        <v>33</v>
      </c>
      <c r="U99" s="8" t="s">
        <v>34</v>
      </c>
      <c r="V99" s="4" t="s">
        <v>280</v>
      </c>
    </row>
    <row r="100" spans="1:22" ht="15" customHeight="1">
      <c r="A100" s="8" t="s">
        <v>281</v>
      </c>
      <c r="B100" s="9" t="s">
        <v>22</v>
      </c>
      <c r="C100" s="9" t="s">
        <v>23</v>
      </c>
      <c r="D100" s="9" t="s">
        <v>278</v>
      </c>
      <c r="E100" s="9"/>
      <c r="F100" s="9" t="s">
        <v>282</v>
      </c>
      <c r="G100" s="8"/>
      <c r="H100" s="8">
        <v>8</v>
      </c>
      <c r="I100" s="8">
        <v>8</v>
      </c>
      <c r="J100" s="8" t="s">
        <v>27</v>
      </c>
      <c r="K100" s="8" t="s">
        <v>28</v>
      </c>
      <c r="L100" s="8">
        <v>78</v>
      </c>
      <c r="M100" s="8">
        <v>2026</v>
      </c>
      <c r="N100" s="8"/>
      <c r="O100" s="8"/>
      <c r="P100" s="8"/>
      <c r="Q100" s="8"/>
      <c r="R100" s="9" t="s">
        <v>55</v>
      </c>
      <c r="S100" s="8" t="s">
        <v>32</v>
      </c>
      <c r="T100" s="9" t="s">
        <v>33</v>
      </c>
      <c r="U100" s="8" t="s">
        <v>34</v>
      </c>
      <c r="V100" s="4" t="s">
        <v>283</v>
      </c>
    </row>
    <row r="101" spans="1:22" ht="15" customHeight="1">
      <c r="A101" s="8" t="s">
        <v>284</v>
      </c>
      <c r="B101" s="9" t="s">
        <v>22</v>
      </c>
      <c r="C101" s="9" t="s">
        <v>23</v>
      </c>
      <c r="D101" s="9" t="s">
        <v>285</v>
      </c>
      <c r="E101" s="9"/>
      <c r="F101" s="8"/>
      <c r="G101" s="8"/>
      <c r="H101" s="8">
        <v>5</v>
      </c>
      <c r="I101" s="8">
        <v>5</v>
      </c>
      <c r="J101" s="8" t="s">
        <v>27</v>
      </c>
      <c r="K101" s="8" t="s">
        <v>28</v>
      </c>
      <c r="L101" s="8">
        <v>78</v>
      </c>
      <c r="M101" s="8">
        <v>2026</v>
      </c>
      <c r="N101" s="8"/>
      <c r="O101" s="8"/>
      <c r="P101" s="8"/>
      <c r="Q101" s="8"/>
      <c r="R101" s="9" t="s">
        <v>55</v>
      </c>
      <c r="S101" s="8" t="s">
        <v>32</v>
      </c>
      <c r="T101" s="9" t="s">
        <v>33</v>
      </c>
      <c r="U101" s="8" t="s">
        <v>34</v>
      </c>
      <c r="V101" s="4" t="s">
        <v>286</v>
      </c>
    </row>
    <row r="102" spans="1:22" ht="15" customHeight="1">
      <c r="A102" s="8" t="s">
        <v>287</v>
      </c>
      <c r="B102" s="9" t="s">
        <v>22</v>
      </c>
      <c r="C102" s="9" t="s">
        <v>23</v>
      </c>
      <c r="D102" s="9" t="s">
        <v>288</v>
      </c>
      <c r="E102" s="9"/>
      <c r="F102" s="8"/>
      <c r="G102" s="8"/>
      <c r="H102" s="8">
        <v>10</v>
      </c>
      <c r="I102" s="8">
        <v>10</v>
      </c>
      <c r="J102" s="8" t="s">
        <v>27</v>
      </c>
      <c r="K102" s="8" t="s">
        <v>28</v>
      </c>
      <c r="L102" s="8">
        <v>78</v>
      </c>
      <c r="M102" s="8">
        <v>2026</v>
      </c>
      <c r="N102" s="8"/>
      <c r="O102" s="8"/>
      <c r="P102" s="8"/>
      <c r="Q102" s="8"/>
      <c r="R102" s="9" t="s">
        <v>55</v>
      </c>
      <c r="S102" s="8" t="s">
        <v>32</v>
      </c>
      <c r="T102" s="9" t="s">
        <v>33</v>
      </c>
      <c r="U102" s="8" t="s">
        <v>34</v>
      </c>
      <c r="V102" s="4" t="s">
        <v>289</v>
      </c>
    </row>
    <row r="103" spans="1:22" ht="15" customHeight="1">
      <c r="A103" s="8" t="s">
        <v>290</v>
      </c>
      <c r="B103" s="9" t="s">
        <v>22</v>
      </c>
      <c r="C103" s="9" t="s">
        <v>23</v>
      </c>
      <c r="D103" s="9" t="s">
        <v>291</v>
      </c>
      <c r="E103" s="9"/>
      <c r="F103" s="8"/>
      <c r="G103" s="8"/>
      <c r="H103" s="8">
        <v>1</v>
      </c>
      <c r="I103" s="8">
        <v>1</v>
      </c>
      <c r="J103" s="8" t="s">
        <v>27</v>
      </c>
      <c r="K103" s="8" t="s">
        <v>28</v>
      </c>
      <c r="L103" s="8">
        <v>78</v>
      </c>
      <c r="M103" s="8">
        <v>2026</v>
      </c>
      <c r="N103" s="8"/>
      <c r="O103" s="8"/>
      <c r="P103" s="8"/>
      <c r="Q103" s="8"/>
      <c r="R103" s="9" t="s">
        <v>55</v>
      </c>
      <c r="S103" s="8" t="s">
        <v>32</v>
      </c>
      <c r="T103" s="9" t="s">
        <v>33</v>
      </c>
      <c r="U103" s="8" t="s">
        <v>34</v>
      </c>
      <c r="V103" s="4" t="s">
        <v>292</v>
      </c>
    </row>
    <row r="104" spans="1:22" ht="15" customHeight="1">
      <c r="A104" s="8" t="s">
        <v>293</v>
      </c>
      <c r="B104" s="9" t="s">
        <v>22</v>
      </c>
      <c r="C104" s="9" t="s">
        <v>23</v>
      </c>
      <c r="D104" s="9" t="s">
        <v>294</v>
      </c>
      <c r="E104" s="9"/>
      <c r="F104" s="8"/>
      <c r="G104" s="8"/>
      <c r="H104" s="8">
        <v>3</v>
      </c>
      <c r="I104" s="8">
        <v>3</v>
      </c>
      <c r="J104" s="8" t="s">
        <v>27</v>
      </c>
      <c r="K104" s="8" t="s">
        <v>28</v>
      </c>
      <c r="L104" s="8">
        <v>78</v>
      </c>
      <c r="M104" s="8">
        <v>2026</v>
      </c>
      <c r="N104" s="8"/>
      <c r="O104" s="8"/>
      <c r="P104" s="8"/>
      <c r="Q104" s="8"/>
      <c r="R104" s="9" t="s">
        <v>55</v>
      </c>
      <c r="S104" s="8" t="s">
        <v>32</v>
      </c>
      <c r="T104" s="9" t="s">
        <v>33</v>
      </c>
      <c r="U104" s="8" t="s">
        <v>34</v>
      </c>
      <c r="V104" s="4" t="s">
        <v>295</v>
      </c>
    </row>
    <row r="105" spans="1:22" ht="15" customHeight="1">
      <c r="A105" s="8" t="s">
        <v>296</v>
      </c>
      <c r="B105" s="9" t="s">
        <v>22</v>
      </c>
      <c r="C105" s="9" t="s">
        <v>23</v>
      </c>
      <c r="D105" s="9" t="s">
        <v>297</v>
      </c>
      <c r="E105" s="9"/>
      <c r="F105" s="8"/>
      <c r="G105" s="8"/>
      <c r="H105" s="8">
        <v>4</v>
      </c>
      <c r="I105" s="8">
        <v>4</v>
      </c>
      <c r="J105" s="8" t="s">
        <v>27</v>
      </c>
      <c r="K105" s="8" t="s">
        <v>28</v>
      </c>
      <c r="L105" s="8">
        <v>78</v>
      </c>
      <c r="M105" s="8">
        <v>2026</v>
      </c>
      <c r="N105" s="8"/>
      <c r="O105" s="8"/>
      <c r="P105" s="8"/>
      <c r="Q105" s="8"/>
      <c r="R105" s="9" t="s">
        <v>55</v>
      </c>
      <c r="S105" s="8" t="s">
        <v>32</v>
      </c>
      <c r="T105" s="9" t="s">
        <v>33</v>
      </c>
      <c r="U105" s="8" t="s">
        <v>34</v>
      </c>
      <c r="V105" s="4" t="s">
        <v>298</v>
      </c>
    </row>
    <row r="106" spans="1:22" ht="15" customHeight="1">
      <c r="A106" s="8" t="s">
        <v>299</v>
      </c>
      <c r="B106" s="9" t="s">
        <v>22</v>
      </c>
      <c r="C106" s="9" t="s">
        <v>23</v>
      </c>
      <c r="D106" s="9" t="s">
        <v>300</v>
      </c>
      <c r="E106" s="9"/>
      <c r="F106" s="8"/>
      <c r="G106" s="8"/>
      <c r="H106" s="8">
        <v>5</v>
      </c>
      <c r="I106" s="8">
        <v>5</v>
      </c>
      <c r="J106" s="8" t="s">
        <v>27</v>
      </c>
      <c r="K106" s="8" t="s">
        <v>28</v>
      </c>
      <c r="L106" s="8">
        <v>78</v>
      </c>
      <c r="M106" s="8">
        <v>2026</v>
      </c>
      <c r="N106" s="8"/>
      <c r="O106" s="8"/>
      <c r="P106" s="8"/>
      <c r="Q106" s="8"/>
      <c r="R106" s="9" t="s">
        <v>55</v>
      </c>
      <c r="S106" s="8" t="s">
        <v>32</v>
      </c>
      <c r="T106" s="9" t="s">
        <v>33</v>
      </c>
      <c r="U106" s="8" t="s">
        <v>34</v>
      </c>
      <c r="V106" s="4" t="s">
        <v>301</v>
      </c>
    </row>
    <row r="107" spans="1:22" ht="15" customHeight="1">
      <c r="A107" s="8" t="s">
        <v>302</v>
      </c>
      <c r="B107" s="9" t="s">
        <v>22</v>
      </c>
      <c r="C107" s="9" t="s">
        <v>23</v>
      </c>
      <c r="D107" s="9" t="s">
        <v>303</v>
      </c>
      <c r="E107" s="9"/>
      <c r="F107" s="8"/>
      <c r="G107" s="8"/>
      <c r="H107" s="8">
        <v>3</v>
      </c>
      <c r="I107" s="8">
        <v>3</v>
      </c>
      <c r="J107" s="8" t="s">
        <v>27</v>
      </c>
      <c r="K107" s="8" t="s">
        <v>28</v>
      </c>
      <c r="L107" s="8">
        <v>78</v>
      </c>
      <c r="M107" s="8">
        <v>2026</v>
      </c>
      <c r="N107" s="8"/>
      <c r="O107" s="8"/>
      <c r="P107" s="8"/>
      <c r="Q107" s="8"/>
      <c r="R107" s="9" t="s">
        <v>55</v>
      </c>
      <c r="S107" s="8" t="s">
        <v>32</v>
      </c>
      <c r="T107" s="9" t="s">
        <v>33</v>
      </c>
      <c r="U107" s="8" t="s">
        <v>34</v>
      </c>
      <c r="V107" s="4" t="s">
        <v>304</v>
      </c>
    </row>
    <row r="108" spans="1:22" ht="15" customHeight="1">
      <c r="A108" s="8" t="s">
        <v>305</v>
      </c>
      <c r="B108" s="9" t="s">
        <v>22</v>
      </c>
      <c r="C108" s="9" t="s">
        <v>23</v>
      </c>
      <c r="D108" s="9" t="s">
        <v>306</v>
      </c>
      <c r="E108" s="9"/>
      <c r="F108" s="9" t="s">
        <v>307</v>
      </c>
      <c r="G108" s="8"/>
      <c r="H108" s="8">
        <v>3</v>
      </c>
      <c r="I108" s="8">
        <v>3</v>
      </c>
      <c r="J108" s="8" t="s">
        <v>27</v>
      </c>
      <c r="K108" s="8" t="s">
        <v>28</v>
      </c>
      <c r="L108" s="8">
        <v>79</v>
      </c>
      <c r="M108" s="8">
        <v>2026</v>
      </c>
      <c r="N108" s="8"/>
      <c r="O108" s="8"/>
      <c r="P108" s="8"/>
      <c r="Q108" s="8"/>
      <c r="R108" s="9" t="s">
        <v>55</v>
      </c>
      <c r="S108" s="8" t="s">
        <v>32</v>
      </c>
      <c r="T108" s="9" t="s">
        <v>33</v>
      </c>
      <c r="U108" s="8" t="s">
        <v>34</v>
      </c>
      <c r="V108" s="4" t="s">
        <v>308</v>
      </c>
    </row>
    <row r="109" spans="1:22" ht="15" customHeight="1">
      <c r="A109" s="8" t="s">
        <v>309</v>
      </c>
      <c r="B109" s="9" t="s">
        <v>22</v>
      </c>
      <c r="C109" s="9" t="s">
        <v>23</v>
      </c>
      <c r="D109" s="9" t="s">
        <v>306</v>
      </c>
      <c r="E109" s="9"/>
      <c r="F109" s="9" t="s">
        <v>310</v>
      </c>
      <c r="G109" s="8"/>
      <c r="H109" s="8">
        <v>3</v>
      </c>
      <c r="I109" s="8">
        <v>3</v>
      </c>
      <c r="J109" s="8" t="s">
        <v>27</v>
      </c>
      <c r="K109" s="8" t="s">
        <v>28</v>
      </c>
      <c r="L109" s="8">
        <v>79</v>
      </c>
      <c r="M109" s="8">
        <v>2026</v>
      </c>
      <c r="N109" s="8"/>
      <c r="O109" s="8"/>
      <c r="P109" s="8"/>
      <c r="Q109" s="8"/>
      <c r="R109" s="9" t="s">
        <v>55</v>
      </c>
      <c r="S109" s="8" t="s">
        <v>32</v>
      </c>
      <c r="T109" s="9" t="s">
        <v>33</v>
      </c>
      <c r="U109" s="8" t="s">
        <v>34</v>
      </c>
      <c r="V109" s="4" t="s">
        <v>311</v>
      </c>
    </row>
    <row r="110" spans="1:22" ht="15" customHeight="1">
      <c r="A110" s="8" t="s">
        <v>312</v>
      </c>
      <c r="B110" s="9" t="s">
        <v>22</v>
      </c>
      <c r="C110" s="9" t="s">
        <v>23</v>
      </c>
      <c r="D110" s="9" t="s">
        <v>306</v>
      </c>
      <c r="E110" s="9"/>
      <c r="F110" s="9" t="s">
        <v>313</v>
      </c>
      <c r="G110" s="8"/>
      <c r="H110" s="8">
        <v>3</v>
      </c>
      <c r="I110" s="8">
        <v>3</v>
      </c>
      <c r="J110" s="8" t="s">
        <v>27</v>
      </c>
      <c r="K110" s="8" t="s">
        <v>28</v>
      </c>
      <c r="L110" s="8">
        <v>79</v>
      </c>
      <c r="M110" s="8">
        <v>2026</v>
      </c>
      <c r="N110" s="8"/>
      <c r="O110" s="8"/>
      <c r="P110" s="8"/>
      <c r="Q110" s="8"/>
      <c r="R110" s="9" t="s">
        <v>55</v>
      </c>
      <c r="S110" s="8" t="s">
        <v>32</v>
      </c>
      <c r="T110" s="9" t="s">
        <v>33</v>
      </c>
      <c r="U110" s="8" t="s">
        <v>34</v>
      </c>
      <c r="V110" s="4" t="s">
        <v>314</v>
      </c>
    </row>
    <row r="111" spans="1:22" ht="15" customHeight="1">
      <c r="A111" s="8" t="s">
        <v>315</v>
      </c>
      <c r="B111" s="9" t="s">
        <v>22</v>
      </c>
      <c r="C111" s="9" t="s">
        <v>23</v>
      </c>
      <c r="D111" s="9" t="s">
        <v>306</v>
      </c>
      <c r="E111" s="9"/>
      <c r="F111" s="9" t="s">
        <v>43</v>
      </c>
      <c r="G111" s="8"/>
      <c r="H111" s="8">
        <v>5</v>
      </c>
      <c r="I111" s="8">
        <v>5</v>
      </c>
      <c r="J111" s="8" t="s">
        <v>27</v>
      </c>
      <c r="K111" s="8" t="s">
        <v>28</v>
      </c>
      <c r="L111" s="8">
        <v>79</v>
      </c>
      <c r="M111" s="8">
        <v>2026</v>
      </c>
      <c r="N111" s="8"/>
      <c r="O111" s="8"/>
      <c r="P111" s="8"/>
      <c r="Q111" s="8"/>
      <c r="R111" s="9" t="s">
        <v>55</v>
      </c>
      <c r="S111" s="8" t="s">
        <v>32</v>
      </c>
      <c r="T111" s="9" t="s">
        <v>33</v>
      </c>
      <c r="U111" s="8" t="s">
        <v>34</v>
      </c>
      <c r="V111" s="4" t="s">
        <v>316</v>
      </c>
    </row>
    <row r="112" spans="1:22" ht="15" customHeight="1">
      <c r="A112" s="8" t="s">
        <v>317</v>
      </c>
      <c r="B112" s="9" t="s">
        <v>22</v>
      </c>
      <c r="C112" s="9" t="s">
        <v>23</v>
      </c>
      <c r="D112" s="9" t="s">
        <v>306</v>
      </c>
      <c r="E112" s="9"/>
      <c r="F112" s="9" t="s">
        <v>318</v>
      </c>
      <c r="G112" s="8"/>
      <c r="H112" s="8">
        <v>5</v>
      </c>
      <c r="I112" s="8">
        <v>5</v>
      </c>
      <c r="J112" s="8" t="s">
        <v>27</v>
      </c>
      <c r="K112" s="8" t="s">
        <v>28</v>
      </c>
      <c r="L112" s="8">
        <v>79</v>
      </c>
      <c r="M112" s="8">
        <v>2026</v>
      </c>
      <c r="N112" s="8"/>
      <c r="O112" s="8"/>
      <c r="P112" s="8"/>
      <c r="Q112" s="8"/>
      <c r="R112" s="9" t="s">
        <v>55</v>
      </c>
      <c r="S112" s="8" t="s">
        <v>32</v>
      </c>
      <c r="T112" s="9" t="s">
        <v>33</v>
      </c>
      <c r="U112" s="8" t="s">
        <v>34</v>
      </c>
      <c r="V112" s="4" t="s">
        <v>319</v>
      </c>
    </row>
    <row r="113" spans="1:22" ht="15" customHeight="1">
      <c r="A113" s="8" t="s">
        <v>320</v>
      </c>
      <c r="B113" s="9" t="s">
        <v>22</v>
      </c>
      <c r="C113" s="9" t="s">
        <v>23</v>
      </c>
      <c r="D113" s="9" t="s">
        <v>306</v>
      </c>
      <c r="E113" s="9"/>
      <c r="F113" s="9" t="s">
        <v>321</v>
      </c>
      <c r="G113" s="8"/>
      <c r="H113" s="8">
        <v>5</v>
      </c>
      <c r="I113" s="8">
        <v>5</v>
      </c>
      <c r="J113" s="8" t="s">
        <v>27</v>
      </c>
      <c r="K113" s="8" t="s">
        <v>28</v>
      </c>
      <c r="L113" s="8">
        <v>79</v>
      </c>
      <c r="M113" s="8">
        <v>2026</v>
      </c>
      <c r="N113" s="8"/>
      <c r="O113" s="8"/>
      <c r="P113" s="8"/>
      <c r="Q113" s="8"/>
      <c r="R113" s="9" t="s">
        <v>55</v>
      </c>
      <c r="S113" s="8" t="s">
        <v>32</v>
      </c>
      <c r="T113" s="9" t="s">
        <v>33</v>
      </c>
      <c r="U113" s="8" t="s">
        <v>34</v>
      </c>
      <c r="V113" s="4" t="s">
        <v>322</v>
      </c>
    </row>
    <row r="114" spans="1:22" ht="15" customHeight="1">
      <c r="A114" s="8" t="s">
        <v>323</v>
      </c>
      <c r="B114" s="9" t="s">
        <v>22</v>
      </c>
      <c r="C114" s="9" t="s">
        <v>23</v>
      </c>
      <c r="D114" s="9" t="s">
        <v>306</v>
      </c>
      <c r="E114" s="9"/>
      <c r="F114" s="9" t="s">
        <v>324</v>
      </c>
      <c r="G114" s="8"/>
      <c r="H114" s="8">
        <v>5</v>
      </c>
      <c r="I114" s="8">
        <v>5</v>
      </c>
      <c r="J114" s="8" t="s">
        <v>27</v>
      </c>
      <c r="K114" s="8" t="s">
        <v>28</v>
      </c>
      <c r="L114" s="8">
        <v>79</v>
      </c>
      <c r="M114" s="8">
        <v>2026</v>
      </c>
      <c r="N114" s="8"/>
      <c r="O114" s="8"/>
      <c r="P114" s="8"/>
      <c r="Q114" s="8"/>
      <c r="R114" s="9" t="s">
        <v>55</v>
      </c>
      <c r="S114" s="8" t="s">
        <v>32</v>
      </c>
      <c r="T114" s="9" t="s">
        <v>33</v>
      </c>
      <c r="U114" s="8" t="s">
        <v>34</v>
      </c>
      <c r="V114" s="4" t="s">
        <v>325</v>
      </c>
    </row>
    <row r="115" spans="1:22" ht="15" customHeight="1">
      <c r="A115" s="8" t="s">
        <v>326</v>
      </c>
      <c r="B115" s="9" t="s">
        <v>22</v>
      </c>
      <c r="C115" s="9" t="s">
        <v>23</v>
      </c>
      <c r="D115" s="9" t="s">
        <v>306</v>
      </c>
      <c r="E115" s="9"/>
      <c r="F115" s="9" t="s">
        <v>327</v>
      </c>
      <c r="G115" s="8"/>
      <c r="H115" s="8">
        <v>3</v>
      </c>
      <c r="I115" s="8">
        <v>3</v>
      </c>
      <c r="J115" s="8" t="s">
        <v>27</v>
      </c>
      <c r="K115" s="8" t="s">
        <v>28</v>
      </c>
      <c r="L115" s="8">
        <v>79</v>
      </c>
      <c r="M115" s="8">
        <v>2026</v>
      </c>
      <c r="N115" s="8"/>
      <c r="O115" s="8"/>
      <c r="P115" s="8"/>
      <c r="Q115" s="8"/>
      <c r="R115" s="9" t="s">
        <v>55</v>
      </c>
      <c r="S115" s="8" t="s">
        <v>32</v>
      </c>
      <c r="T115" s="9" t="s">
        <v>33</v>
      </c>
      <c r="U115" s="8" t="s">
        <v>34</v>
      </c>
      <c r="V115" s="4" t="s">
        <v>328</v>
      </c>
    </row>
    <row r="116" spans="1:22" ht="15" customHeight="1">
      <c r="A116" s="8" t="s">
        <v>329</v>
      </c>
      <c r="B116" s="9" t="s">
        <v>22</v>
      </c>
      <c r="C116" s="9" t="s">
        <v>23</v>
      </c>
      <c r="D116" s="9" t="s">
        <v>330</v>
      </c>
      <c r="E116" s="9"/>
      <c r="F116" s="8"/>
      <c r="G116" s="8"/>
      <c r="H116" s="8">
        <v>6</v>
      </c>
      <c r="I116" s="8">
        <v>6</v>
      </c>
      <c r="J116" s="8" t="s">
        <v>27</v>
      </c>
      <c r="K116" s="8" t="s">
        <v>28</v>
      </c>
      <c r="L116" s="8">
        <v>79</v>
      </c>
      <c r="M116" s="8">
        <v>2026</v>
      </c>
      <c r="N116" s="8"/>
      <c r="O116" s="8"/>
      <c r="P116" s="8"/>
      <c r="Q116" s="8"/>
      <c r="R116" s="9" t="s">
        <v>55</v>
      </c>
      <c r="S116" s="8" t="s">
        <v>32</v>
      </c>
      <c r="T116" s="9" t="s">
        <v>33</v>
      </c>
      <c r="U116" s="8" t="s">
        <v>34</v>
      </c>
      <c r="V116" s="4" t="s">
        <v>331</v>
      </c>
    </row>
    <row r="117" spans="1:22" ht="15" customHeight="1">
      <c r="A117" s="8" t="s">
        <v>332</v>
      </c>
      <c r="B117" s="9" t="s">
        <v>22</v>
      </c>
      <c r="C117" s="9" t="s">
        <v>23</v>
      </c>
      <c r="D117" s="9" t="s">
        <v>333</v>
      </c>
      <c r="E117" s="9"/>
      <c r="F117" s="9" t="s">
        <v>334</v>
      </c>
      <c r="G117" s="8"/>
      <c r="H117" s="8">
        <v>2</v>
      </c>
      <c r="I117" s="8">
        <v>2</v>
      </c>
      <c r="J117" s="8" t="s">
        <v>27</v>
      </c>
      <c r="K117" s="8" t="s">
        <v>28</v>
      </c>
      <c r="L117" s="8">
        <v>79</v>
      </c>
      <c r="M117" s="8">
        <v>2026</v>
      </c>
      <c r="N117" s="8"/>
      <c r="O117" s="8"/>
      <c r="P117" s="8"/>
      <c r="Q117" s="8"/>
      <c r="R117" s="9" t="s">
        <v>55</v>
      </c>
      <c r="S117" s="8" t="s">
        <v>32</v>
      </c>
      <c r="T117" s="9" t="s">
        <v>33</v>
      </c>
      <c r="U117" s="8" t="s">
        <v>34</v>
      </c>
      <c r="V117" s="4" t="s">
        <v>335</v>
      </c>
    </row>
    <row r="118" spans="1:22" ht="15" customHeight="1">
      <c r="A118" s="8" t="s">
        <v>336</v>
      </c>
      <c r="B118" s="9" t="s">
        <v>73</v>
      </c>
      <c r="C118" s="9" t="s">
        <v>337</v>
      </c>
      <c r="D118" s="9" t="s">
        <v>338</v>
      </c>
      <c r="E118" s="9"/>
      <c r="F118" s="9" t="s">
        <v>339</v>
      </c>
      <c r="G118" s="9" t="s">
        <v>26</v>
      </c>
      <c r="H118" s="8">
        <v>6</v>
      </c>
      <c r="I118" s="8">
        <v>6</v>
      </c>
      <c r="J118" s="8" t="s">
        <v>264</v>
      </c>
      <c r="K118" s="8" t="s">
        <v>340</v>
      </c>
      <c r="L118" s="8">
        <v>667</v>
      </c>
      <c r="M118" s="8">
        <v>2025</v>
      </c>
      <c r="N118" s="8"/>
      <c r="O118" s="9" t="s">
        <v>341</v>
      </c>
      <c r="P118" s="9" t="s">
        <v>342</v>
      </c>
      <c r="Q118" s="9" t="s">
        <v>343</v>
      </c>
      <c r="R118" s="9" t="s">
        <v>31</v>
      </c>
      <c r="S118" s="8" t="s">
        <v>32</v>
      </c>
      <c r="T118" s="9" t="s">
        <v>33</v>
      </c>
      <c r="U118" s="8" t="s">
        <v>34</v>
      </c>
      <c r="V118" s="8" t="s">
        <v>344</v>
      </c>
    </row>
    <row r="119" spans="1:22" ht="15" customHeight="1">
      <c r="A119" s="8" t="s">
        <v>345</v>
      </c>
      <c r="B119" s="9" t="s">
        <v>73</v>
      </c>
      <c r="C119" s="9" t="s">
        <v>337</v>
      </c>
      <c r="D119" s="9" t="s">
        <v>338</v>
      </c>
      <c r="E119" s="9"/>
      <c r="F119" s="9" t="s">
        <v>346</v>
      </c>
      <c r="G119" s="9" t="s">
        <v>26</v>
      </c>
      <c r="H119" s="8">
        <v>6</v>
      </c>
      <c r="I119" s="8">
        <v>6</v>
      </c>
      <c r="J119" s="8" t="s">
        <v>264</v>
      </c>
      <c r="K119" s="8" t="s">
        <v>347</v>
      </c>
      <c r="L119" s="8">
        <v>667</v>
      </c>
      <c r="M119" s="8">
        <v>2025</v>
      </c>
      <c r="N119" s="8"/>
      <c r="O119" s="9" t="s">
        <v>348</v>
      </c>
      <c r="P119" s="9" t="s">
        <v>349</v>
      </c>
      <c r="Q119" s="9" t="s">
        <v>350</v>
      </c>
      <c r="R119" s="9" t="s">
        <v>31</v>
      </c>
      <c r="S119" s="8" t="s">
        <v>32</v>
      </c>
      <c r="T119" s="9" t="s">
        <v>33</v>
      </c>
      <c r="U119" s="8" t="s">
        <v>34</v>
      </c>
      <c r="V119" s="8" t="s">
        <v>351</v>
      </c>
    </row>
    <row r="120" spans="1:22" ht="15" customHeight="1">
      <c r="A120" s="8" t="s">
        <v>352</v>
      </c>
      <c r="B120" s="9" t="s">
        <v>73</v>
      </c>
      <c r="C120" s="9" t="s">
        <v>337</v>
      </c>
      <c r="D120" s="9" t="s">
        <v>353</v>
      </c>
      <c r="E120" s="9"/>
      <c r="F120" s="9" t="s">
        <v>354</v>
      </c>
      <c r="G120" s="9" t="s">
        <v>26</v>
      </c>
      <c r="H120" s="8">
        <v>20</v>
      </c>
      <c r="I120" s="8">
        <v>20</v>
      </c>
      <c r="J120" s="8" t="s">
        <v>264</v>
      </c>
      <c r="K120" s="9" t="s">
        <v>355</v>
      </c>
      <c r="L120" s="8">
        <v>869</v>
      </c>
      <c r="M120" s="8">
        <v>2025</v>
      </c>
      <c r="N120" s="8"/>
      <c r="O120" s="8" t="s">
        <v>356</v>
      </c>
      <c r="P120" s="8" t="s">
        <v>357</v>
      </c>
      <c r="Q120" s="9" t="s">
        <v>358</v>
      </c>
      <c r="R120" s="9" t="s">
        <v>55</v>
      </c>
      <c r="S120" s="8" t="s">
        <v>32</v>
      </c>
      <c r="T120" s="9" t="s">
        <v>33</v>
      </c>
      <c r="U120" s="8" t="s">
        <v>34</v>
      </c>
      <c r="V120" s="8" t="s">
        <v>359</v>
      </c>
    </row>
    <row r="121" spans="1:22" ht="15" customHeight="1">
      <c r="A121" s="8" t="s">
        <v>360</v>
      </c>
      <c r="B121" s="9" t="s">
        <v>73</v>
      </c>
      <c r="C121" s="9" t="s">
        <v>74</v>
      </c>
      <c r="D121" s="9" t="s">
        <v>361</v>
      </c>
      <c r="E121" s="9"/>
      <c r="F121" s="9" t="s">
        <v>362</v>
      </c>
      <c r="G121" s="9" t="s">
        <v>26</v>
      </c>
      <c r="H121" s="8">
        <v>4</v>
      </c>
      <c r="I121" s="8">
        <v>4</v>
      </c>
      <c r="J121" s="8" t="s">
        <v>264</v>
      </c>
      <c r="K121" s="8" t="s">
        <v>363</v>
      </c>
      <c r="L121" s="8">
        <v>772</v>
      </c>
      <c r="M121" s="8">
        <v>2025</v>
      </c>
      <c r="N121" s="8"/>
      <c r="O121" s="9" t="s">
        <v>364</v>
      </c>
      <c r="P121" s="9" t="s">
        <v>365</v>
      </c>
      <c r="Q121" s="9" t="s">
        <v>366</v>
      </c>
      <c r="R121" s="9" t="s">
        <v>31</v>
      </c>
      <c r="S121" s="8" t="s">
        <v>32</v>
      </c>
      <c r="T121" s="9" t="s">
        <v>33</v>
      </c>
      <c r="U121" s="8" t="s">
        <v>34</v>
      </c>
      <c r="V121" s="8" t="s">
        <v>367</v>
      </c>
    </row>
    <row r="122" spans="1:22" ht="15" customHeight="1">
      <c r="A122" s="8" t="s">
        <v>368</v>
      </c>
      <c r="B122" s="9" t="s">
        <v>73</v>
      </c>
      <c r="C122" s="9" t="s">
        <v>74</v>
      </c>
      <c r="D122" s="9" t="s">
        <v>369</v>
      </c>
      <c r="E122" s="9"/>
      <c r="F122" s="9" t="s">
        <v>370</v>
      </c>
      <c r="G122" s="9" t="s">
        <v>26</v>
      </c>
      <c r="H122" s="8">
        <v>4</v>
      </c>
      <c r="I122" s="8">
        <v>4</v>
      </c>
      <c r="J122" s="8" t="s">
        <v>264</v>
      </c>
      <c r="K122" s="8" t="s">
        <v>371</v>
      </c>
      <c r="L122" s="8">
        <v>777</v>
      </c>
      <c r="M122" s="8">
        <v>2025</v>
      </c>
      <c r="N122" s="8"/>
      <c r="O122" s="9" t="s">
        <v>372</v>
      </c>
      <c r="P122" s="9" t="s">
        <v>373</v>
      </c>
      <c r="Q122" s="9" t="s">
        <v>374</v>
      </c>
      <c r="R122" s="9" t="s">
        <v>55</v>
      </c>
      <c r="S122" s="8" t="s">
        <v>32</v>
      </c>
      <c r="T122" s="9" t="s">
        <v>33</v>
      </c>
      <c r="U122" s="8" t="s">
        <v>34</v>
      </c>
      <c r="V122" s="8" t="s">
        <v>375</v>
      </c>
    </row>
    <row r="123" spans="1:22" ht="15" customHeight="1">
      <c r="A123" s="8" t="s">
        <v>376</v>
      </c>
      <c r="B123" s="9" t="s">
        <v>73</v>
      </c>
      <c r="C123" s="9" t="s">
        <v>74</v>
      </c>
      <c r="D123" s="9" t="s">
        <v>377</v>
      </c>
      <c r="E123" s="9"/>
      <c r="F123" s="9" t="s">
        <v>378</v>
      </c>
      <c r="G123" s="9" t="s">
        <v>26</v>
      </c>
      <c r="H123" s="8">
        <v>6</v>
      </c>
      <c r="I123" s="8">
        <v>6</v>
      </c>
      <c r="J123" s="8" t="s">
        <v>264</v>
      </c>
      <c r="K123" s="8" t="s">
        <v>371</v>
      </c>
      <c r="L123" s="8">
        <v>777</v>
      </c>
      <c r="M123" s="8">
        <v>2025</v>
      </c>
      <c r="N123" s="8"/>
      <c r="O123" s="9" t="s">
        <v>379</v>
      </c>
      <c r="P123" s="9" t="s">
        <v>380</v>
      </c>
      <c r="Q123" s="9" t="s">
        <v>381</v>
      </c>
      <c r="R123" s="9" t="s">
        <v>55</v>
      </c>
      <c r="S123" s="8" t="s">
        <v>32</v>
      </c>
      <c r="T123" s="9" t="s">
        <v>33</v>
      </c>
      <c r="U123" s="8" t="s">
        <v>34</v>
      </c>
      <c r="V123" s="8" t="s">
        <v>382</v>
      </c>
    </row>
    <row r="124" spans="1:22" ht="15" customHeight="1">
      <c r="A124" s="8" t="s">
        <v>383</v>
      </c>
      <c r="B124" s="9" t="s">
        <v>73</v>
      </c>
      <c r="C124" s="9" t="s">
        <v>74</v>
      </c>
      <c r="D124" s="9" t="s">
        <v>384</v>
      </c>
      <c r="E124" s="9"/>
      <c r="F124" s="9" t="s">
        <v>385</v>
      </c>
      <c r="G124" s="9" t="s">
        <v>26</v>
      </c>
      <c r="H124" s="8">
        <v>6</v>
      </c>
      <c r="I124" s="8">
        <v>6</v>
      </c>
      <c r="J124" s="8" t="s">
        <v>264</v>
      </c>
      <c r="K124" s="8" t="s">
        <v>371</v>
      </c>
      <c r="L124" s="8">
        <v>777</v>
      </c>
      <c r="M124" s="8">
        <v>2025</v>
      </c>
      <c r="N124" s="8"/>
      <c r="O124" s="9" t="s">
        <v>386</v>
      </c>
      <c r="P124" s="8"/>
      <c r="Q124" s="9" t="s">
        <v>387</v>
      </c>
      <c r="R124" s="9" t="s">
        <v>55</v>
      </c>
      <c r="S124" s="8" t="s">
        <v>32</v>
      </c>
      <c r="T124" s="9" t="s">
        <v>33</v>
      </c>
      <c r="U124" s="8" t="s">
        <v>34</v>
      </c>
      <c r="V124" s="8" t="s">
        <v>388</v>
      </c>
    </row>
    <row r="125" spans="1:22" ht="15" customHeight="1">
      <c r="A125" s="8" t="s">
        <v>389</v>
      </c>
      <c r="B125" s="9" t="s">
        <v>73</v>
      </c>
      <c r="C125" s="9" t="s">
        <v>74</v>
      </c>
      <c r="D125" s="9" t="s">
        <v>390</v>
      </c>
      <c r="E125" s="9"/>
      <c r="F125" s="9" t="s">
        <v>391</v>
      </c>
      <c r="G125" s="9" t="s">
        <v>26</v>
      </c>
      <c r="H125" s="8">
        <v>6</v>
      </c>
      <c r="I125" s="8">
        <v>6</v>
      </c>
      <c r="J125" s="8" t="s">
        <v>264</v>
      </c>
      <c r="K125" s="8" t="s">
        <v>392</v>
      </c>
      <c r="L125" s="8">
        <v>657</v>
      </c>
      <c r="M125" s="8">
        <v>2025</v>
      </c>
      <c r="N125" s="8"/>
      <c r="O125" s="9" t="s">
        <v>393</v>
      </c>
      <c r="P125" s="9" t="s">
        <v>394</v>
      </c>
      <c r="Q125" s="9" t="s">
        <v>395</v>
      </c>
      <c r="R125" s="9" t="s">
        <v>55</v>
      </c>
      <c r="S125" s="8" t="s">
        <v>32</v>
      </c>
      <c r="T125" s="9" t="s">
        <v>33</v>
      </c>
      <c r="U125" s="8" t="s">
        <v>34</v>
      </c>
      <c r="V125" s="8" t="s">
        <v>396</v>
      </c>
    </row>
    <row r="126" spans="1:22" ht="15" customHeight="1">
      <c r="A126" s="8" t="s">
        <v>397</v>
      </c>
      <c r="B126" s="9" t="s">
        <v>73</v>
      </c>
      <c r="C126" s="9" t="s">
        <v>47</v>
      </c>
      <c r="D126" s="9" t="s">
        <v>398</v>
      </c>
      <c r="E126" s="9"/>
      <c r="F126" s="9" t="s">
        <v>399</v>
      </c>
      <c r="G126" s="9" t="s">
        <v>26</v>
      </c>
      <c r="H126" s="8">
        <v>4</v>
      </c>
      <c r="I126" s="8">
        <v>4</v>
      </c>
      <c r="J126" s="8" t="s">
        <v>264</v>
      </c>
      <c r="K126" s="8" t="s">
        <v>400</v>
      </c>
      <c r="L126" s="8">
        <v>773</v>
      </c>
      <c r="M126" s="8">
        <v>2025</v>
      </c>
      <c r="N126" s="8"/>
      <c r="O126" s="9" t="s">
        <v>401</v>
      </c>
      <c r="P126" s="9" t="s">
        <v>402</v>
      </c>
      <c r="Q126" s="9" t="s">
        <v>403</v>
      </c>
      <c r="R126" s="9" t="s">
        <v>31</v>
      </c>
      <c r="S126" s="8" t="s">
        <v>32</v>
      </c>
      <c r="T126" s="9" t="s">
        <v>33</v>
      </c>
      <c r="U126" s="8" t="s">
        <v>34</v>
      </c>
      <c r="V126" s="8" t="s">
        <v>404</v>
      </c>
    </row>
    <row r="127" spans="1:22" ht="15" customHeight="1">
      <c r="A127" s="8" t="s">
        <v>405</v>
      </c>
      <c r="B127" s="9" t="s">
        <v>73</v>
      </c>
      <c r="C127" s="9" t="s">
        <v>47</v>
      </c>
      <c r="D127" s="9" t="s">
        <v>406</v>
      </c>
      <c r="E127" s="9"/>
      <c r="F127" s="9" t="s">
        <v>407</v>
      </c>
      <c r="G127" s="9" t="s">
        <v>26</v>
      </c>
      <c r="H127" s="8">
        <v>4</v>
      </c>
      <c r="I127" s="8">
        <v>4</v>
      </c>
      <c r="J127" s="8" t="s">
        <v>264</v>
      </c>
      <c r="K127" s="8" t="s">
        <v>408</v>
      </c>
      <c r="L127" s="8">
        <v>773</v>
      </c>
      <c r="M127" s="8">
        <v>2025</v>
      </c>
      <c r="N127" s="8"/>
      <c r="O127" s="9" t="s">
        <v>406</v>
      </c>
      <c r="P127" s="9" t="s">
        <v>402</v>
      </c>
      <c r="Q127" s="9" t="s">
        <v>409</v>
      </c>
      <c r="R127" s="9" t="s">
        <v>55</v>
      </c>
      <c r="S127" s="8" t="s">
        <v>32</v>
      </c>
      <c r="T127" s="9" t="s">
        <v>33</v>
      </c>
      <c r="U127" s="8" t="s">
        <v>34</v>
      </c>
      <c r="V127" s="8" t="s">
        <v>410</v>
      </c>
    </row>
    <row r="128" spans="1:22" ht="15" customHeight="1">
      <c r="A128" s="8" t="s">
        <v>411</v>
      </c>
      <c r="B128" s="9" t="s">
        <v>73</v>
      </c>
      <c r="C128" s="9" t="s">
        <v>47</v>
      </c>
      <c r="D128" s="9" t="s">
        <v>412</v>
      </c>
      <c r="E128" s="9"/>
      <c r="F128" s="9" t="s">
        <v>407</v>
      </c>
      <c r="G128" s="9" t="s">
        <v>26</v>
      </c>
      <c r="H128" s="8">
        <v>4</v>
      </c>
      <c r="I128" s="8">
        <v>4</v>
      </c>
      <c r="J128" s="8" t="s">
        <v>264</v>
      </c>
      <c r="K128" s="8" t="s">
        <v>413</v>
      </c>
      <c r="L128" s="8">
        <v>773</v>
      </c>
      <c r="M128" s="8">
        <v>2025</v>
      </c>
      <c r="N128" s="8"/>
      <c r="O128" s="9" t="s">
        <v>412</v>
      </c>
      <c r="P128" s="9" t="s">
        <v>402</v>
      </c>
      <c r="Q128" s="9" t="s">
        <v>414</v>
      </c>
      <c r="R128" s="9" t="s">
        <v>55</v>
      </c>
      <c r="S128" s="8" t="s">
        <v>32</v>
      </c>
      <c r="T128" s="9" t="s">
        <v>33</v>
      </c>
      <c r="U128" s="8" t="s">
        <v>34</v>
      </c>
      <c r="V128" s="8" t="s">
        <v>415</v>
      </c>
    </row>
    <row r="129" spans="1:22" ht="15" customHeight="1">
      <c r="A129" s="8" t="s">
        <v>416</v>
      </c>
      <c r="B129" s="9" t="s">
        <v>73</v>
      </c>
      <c r="C129" s="9" t="s">
        <v>47</v>
      </c>
      <c r="D129" s="9" t="s">
        <v>30</v>
      </c>
      <c r="E129" s="9"/>
      <c r="F129" s="9" t="s">
        <v>417</v>
      </c>
      <c r="G129" s="9" t="s">
        <v>26</v>
      </c>
      <c r="H129" s="8">
        <v>4</v>
      </c>
      <c r="I129" s="8">
        <v>4</v>
      </c>
      <c r="J129" s="8" t="s">
        <v>264</v>
      </c>
      <c r="K129" s="8" t="s">
        <v>418</v>
      </c>
      <c r="L129" s="8">
        <v>773</v>
      </c>
      <c r="M129" s="8">
        <v>2025</v>
      </c>
      <c r="N129" s="8"/>
      <c r="O129" s="9" t="s">
        <v>419</v>
      </c>
      <c r="P129" s="9" t="s">
        <v>420</v>
      </c>
      <c r="Q129" s="9" t="s">
        <v>421</v>
      </c>
      <c r="R129" s="9" t="s">
        <v>31</v>
      </c>
      <c r="S129" s="8" t="s">
        <v>32</v>
      </c>
      <c r="T129" s="9" t="s">
        <v>33</v>
      </c>
      <c r="U129" s="8" t="s">
        <v>34</v>
      </c>
      <c r="V129" s="8" t="s">
        <v>422</v>
      </c>
    </row>
    <row r="130" spans="1:22" ht="15" customHeight="1">
      <c r="A130" s="8" t="s">
        <v>423</v>
      </c>
      <c r="B130" s="9" t="s">
        <v>73</v>
      </c>
      <c r="C130" s="9" t="s">
        <v>47</v>
      </c>
      <c r="D130" s="9" t="s">
        <v>30</v>
      </c>
      <c r="E130" s="9"/>
      <c r="F130" s="9" t="s">
        <v>424</v>
      </c>
      <c r="G130" s="9" t="s">
        <v>26</v>
      </c>
      <c r="H130" s="8">
        <v>4</v>
      </c>
      <c r="I130" s="8">
        <v>4</v>
      </c>
      <c r="J130" s="8" t="s">
        <v>264</v>
      </c>
      <c r="K130" s="8" t="s">
        <v>425</v>
      </c>
      <c r="L130" s="8">
        <v>773</v>
      </c>
      <c r="M130" s="8">
        <v>2025</v>
      </c>
      <c r="N130" s="8"/>
      <c r="O130" s="9" t="s">
        <v>426</v>
      </c>
      <c r="P130" s="9" t="s">
        <v>427</v>
      </c>
      <c r="Q130" s="9" t="s">
        <v>428</v>
      </c>
      <c r="R130" s="9" t="s">
        <v>31</v>
      </c>
      <c r="S130" s="8" t="s">
        <v>32</v>
      </c>
      <c r="T130" s="9" t="s">
        <v>33</v>
      </c>
      <c r="U130" s="8" t="s">
        <v>34</v>
      </c>
      <c r="V130" s="8" t="s">
        <v>967</v>
      </c>
    </row>
    <row r="131" spans="1:22" ht="15" customHeight="1">
      <c r="A131" s="8" t="s">
        <v>429</v>
      </c>
      <c r="B131" s="9" t="s">
        <v>73</v>
      </c>
      <c r="C131" s="9" t="s">
        <v>47</v>
      </c>
      <c r="D131" s="9" t="s">
        <v>30</v>
      </c>
      <c r="E131" s="9"/>
      <c r="F131" s="9" t="s">
        <v>430</v>
      </c>
      <c r="G131" s="9" t="s">
        <v>26</v>
      </c>
      <c r="H131" s="8">
        <v>1</v>
      </c>
      <c r="I131" s="8">
        <v>1</v>
      </c>
      <c r="J131" s="8" t="s">
        <v>264</v>
      </c>
      <c r="K131" s="8" t="s">
        <v>425</v>
      </c>
      <c r="L131" s="8">
        <v>773</v>
      </c>
      <c r="M131" s="8">
        <v>2025</v>
      </c>
      <c r="N131" s="8"/>
      <c r="O131" s="9" t="s">
        <v>431</v>
      </c>
      <c r="P131" s="9" t="s">
        <v>432</v>
      </c>
      <c r="Q131" s="9" t="s">
        <v>433</v>
      </c>
      <c r="R131" s="9" t="s">
        <v>31</v>
      </c>
      <c r="S131" s="8" t="s">
        <v>32</v>
      </c>
      <c r="T131" s="9" t="s">
        <v>33</v>
      </c>
      <c r="U131" s="8" t="s">
        <v>34</v>
      </c>
      <c r="V131" s="8" t="s">
        <v>434</v>
      </c>
    </row>
    <row r="132" spans="1:22" ht="15" customHeight="1">
      <c r="A132" s="8" t="s">
        <v>435</v>
      </c>
      <c r="B132" s="9" t="s">
        <v>73</v>
      </c>
      <c r="C132" s="9" t="s">
        <v>47</v>
      </c>
      <c r="D132" s="9" t="s">
        <v>436</v>
      </c>
      <c r="E132" s="9"/>
      <c r="F132" s="9" t="s">
        <v>437</v>
      </c>
      <c r="G132" s="9" t="s">
        <v>198</v>
      </c>
      <c r="H132" s="8">
        <v>3</v>
      </c>
      <c r="I132" s="8">
        <v>3</v>
      </c>
      <c r="J132" s="8" t="s">
        <v>264</v>
      </c>
      <c r="K132" s="8" t="s">
        <v>438</v>
      </c>
      <c r="L132" s="8">
        <v>775</v>
      </c>
      <c r="M132" s="8">
        <v>2025</v>
      </c>
      <c r="N132" s="8"/>
      <c r="O132" s="9" t="s">
        <v>439</v>
      </c>
      <c r="P132" s="9" t="s">
        <v>440</v>
      </c>
      <c r="Q132" s="9" t="s">
        <v>441</v>
      </c>
      <c r="R132" s="9" t="s">
        <v>55</v>
      </c>
      <c r="S132" s="8" t="s">
        <v>32</v>
      </c>
      <c r="T132" s="9" t="s">
        <v>33</v>
      </c>
      <c r="U132" s="8" t="s">
        <v>34</v>
      </c>
      <c r="V132" s="8" t="s">
        <v>442</v>
      </c>
    </row>
    <row r="133" spans="1:22" ht="15" customHeight="1">
      <c r="A133" s="8" t="s">
        <v>443</v>
      </c>
      <c r="B133" s="9" t="s">
        <v>73</v>
      </c>
      <c r="C133" s="9" t="s">
        <v>47</v>
      </c>
      <c r="D133" s="9" t="s">
        <v>444</v>
      </c>
      <c r="E133" s="9"/>
      <c r="F133" s="9" t="s">
        <v>445</v>
      </c>
      <c r="G133" s="9" t="s">
        <v>198</v>
      </c>
      <c r="H133" s="8">
        <v>3</v>
      </c>
      <c r="I133" s="8">
        <v>3</v>
      </c>
      <c r="J133" s="8" t="s">
        <v>264</v>
      </c>
      <c r="K133" s="8" t="s">
        <v>446</v>
      </c>
      <c r="L133" s="8">
        <v>775</v>
      </c>
      <c r="M133" s="8">
        <v>2025</v>
      </c>
      <c r="N133" s="8"/>
      <c r="O133" s="9" t="s">
        <v>447</v>
      </c>
      <c r="P133" s="9" t="s">
        <v>448</v>
      </c>
      <c r="Q133" s="9" t="s">
        <v>449</v>
      </c>
      <c r="R133" s="9" t="s">
        <v>55</v>
      </c>
      <c r="S133" s="8" t="s">
        <v>32</v>
      </c>
      <c r="T133" s="9" t="s">
        <v>33</v>
      </c>
      <c r="U133" s="8" t="s">
        <v>34</v>
      </c>
      <c r="V133" s="8" t="s">
        <v>450</v>
      </c>
    </row>
    <row r="134" spans="1:22" ht="15" customHeight="1">
      <c r="A134" s="8" t="s">
        <v>451</v>
      </c>
      <c r="B134" s="9" t="s">
        <v>73</v>
      </c>
      <c r="C134" s="9" t="s">
        <v>47</v>
      </c>
      <c r="D134" s="9" t="s">
        <v>48</v>
      </c>
      <c r="E134" s="9"/>
      <c r="F134" s="9" t="s">
        <v>452</v>
      </c>
      <c r="G134" s="8" t="s">
        <v>50</v>
      </c>
      <c r="H134" s="8">
        <v>2</v>
      </c>
      <c r="I134" s="8">
        <v>2</v>
      </c>
      <c r="J134" s="8" t="s">
        <v>264</v>
      </c>
      <c r="K134" s="8" t="s">
        <v>453</v>
      </c>
      <c r="L134" s="8">
        <v>1020</v>
      </c>
      <c r="M134" s="8">
        <v>2025</v>
      </c>
      <c r="N134" s="8"/>
      <c r="O134" s="9" t="s">
        <v>454</v>
      </c>
      <c r="P134" s="9" t="s">
        <v>455</v>
      </c>
      <c r="Q134" s="9" t="s">
        <v>456</v>
      </c>
      <c r="R134" s="9" t="s">
        <v>31</v>
      </c>
      <c r="S134" s="8" t="s">
        <v>32</v>
      </c>
      <c r="T134" s="9" t="s">
        <v>33</v>
      </c>
      <c r="U134" s="8" t="s">
        <v>34</v>
      </c>
      <c r="V134" s="8" t="s">
        <v>457</v>
      </c>
    </row>
    <row r="135" spans="1:22" ht="15" customHeight="1">
      <c r="A135" s="8" t="s">
        <v>458</v>
      </c>
      <c r="B135" s="9" t="s">
        <v>73</v>
      </c>
      <c r="C135" s="9" t="s">
        <v>47</v>
      </c>
      <c r="D135" s="9" t="s">
        <v>75</v>
      </c>
      <c r="E135" s="9"/>
      <c r="F135" s="9" t="s">
        <v>452</v>
      </c>
      <c r="G135" s="9" t="s">
        <v>26</v>
      </c>
      <c r="H135" s="8">
        <v>10</v>
      </c>
      <c r="I135" s="8">
        <v>10</v>
      </c>
      <c r="J135" s="8" t="s">
        <v>264</v>
      </c>
      <c r="K135" s="8" t="s">
        <v>453</v>
      </c>
      <c r="L135" s="8">
        <v>1020</v>
      </c>
      <c r="M135" s="8">
        <v>2025</v>
      </c>
      <c r="N135" s="8"/>
      <c r="O135" s="9" t="s">
        <v>459</v>
      </c>
      <c r="P135" s="9" t="s">
        <v>460</v>
      </c>
      <c r="Q135" s="9" t="s">
        <v>461</v>
      </c>
      <c r="R135" s="9" t="s">
        <v>55</v>
      </c>
      <c r="S135" s="8" t="s">
        <v>32</v>
      </c>
      <c r="T135" s="9" t="s">
        <v>33</v>
      </c>
      <c r="U135" s="8" t="s">
        <v>34</v>
      </c>
      <c r="V135" s="8" t="s">
        <v>462</v>
      </c>
    </row>
    <row r="136" spans="1:22" ht="15" customHeight="1">
      <c r="A136" s="8" t="s">
        <v>463</v>
      </c>
      <c r="B136" s="9" t="s">
        <v>73</v>
      </c>
      <c r="C136" s="9" t="s">
        <v>47</v>
      </c>
      <c r="D136" s="9" t="s">
        <v>464</v>
      </c>
      <c r="E136" s="9"/>
      <c r="F136" s="9" t="s">
        <v>452</v>
      </c>
      <c r="G136" s="9" t="s">
        <v>26</v>
      </c>
      <c r="H136" s="8">
        <v>3</v>
      </c>
      <c r="I136" s="8">
        <v>3</v>
      </c>
      <c r="J136" s="8" t="s">
        <v>264</v>
      </c>
      <c r="K136" s="8" t="s">
        <v>453</v>
      </c>
      <c r="L136" s="8">
        <v>1020</v>
      </c>
      <c r="M136" s="8">
        <v>2025</v>
      </c>
      <c r="N136" s="8"/>
      <c r="O136" s="9" t="s">
        <v>465</v>
      </c>
      <c r="P136" s="9" t="s">
        <v>466</v>
      </c>
      <c r="Q136" s="9" t="s">
        <v>467</v>
      </c>
      <c r="R136" s="9" t="s">
        <v>55</v>
      </c>
      <c r="S136" s="8" t="s">
        <v>32</v>
      </c>
      <c r="T136" s="9" t="s">
        <v>33</v>
      </c>
      <c r="U136" s="8" t="s">
        <v>34</v>
      </c>
      <c r="V136" s="8" t="s">
        <v>468</v>
      </c>
    </row>
    <row r="137" spans="1:22" ht="15" customHeight="1">
      <c r="A137" s="8" t="s">
        <v>469</v>
      </c>
      <c r="B137" s="9" t="s">
        <v>73</v>
      </c>
      <c r="C137" s="9" t="s">
        <v>47</v>
      </c>
      <c r="D137" s="9" t="s">
        <v>470</v>
      </c>
      <c r="E137" s="9"/>
      <c r="F137" s="9" t="s">
        <v>471</v>
      </c>
      <c r="G137" s="8" t="s">
        <v>50</v>
      </c>
      <c r="H137" s="8">
        <v>2</v>
      </c>
      <c r="I137" s="8">
        <v>2</v>
      </c>
      <c r="J137" s="8" t="s">
        <v>264</v>
      </c>
      <c r="K137" s="8" t="s">
        <v>472</v>
      </c>
      <c r="L137" s="8">
        <v>1022</v>
      </c>
      <c r="M137" s="8">
        <v>2025</v>
      </c>
      <c r="N137" s="8"/>
      <c r="O137" s="9" t="s">
        <v>473</v>
      </c>
      <c r="P137" s="8"/>
      <c r="Q137" s="9" t="s">
        <v>474</v>
      </c>
      <c r="R137" s="9" t="s">
        <v>55</v>
      </c>
      <c r="S137" s="8" t="s">
        <v>32</v>
      </c>
      <c r="T137" s="9" t="s">
        <v>33</v>
      </c>
      <c r="U137" s="8" t="s">
        <v>34</v>
      </c>
      <c r="V137" s="8" t="s">
        <v>475</v>
      </c>
    </row>
    <row r="138" spans="1:22" ht="15" customHeight="1">
      <c r="A138" s="8" t="s">
        <v>476</v>
      </c>
      <c r="B138" s="9" t="s">
        <v>73</v>
      </c>
      <c r="C138" s="9" t="s">
        <v>142</v>
      </c>
      <c r="D138" s="33" t="s">
        <v>960</v>
      </c>
      <c r="E138" s="33">
        <v>7</v>
      </c>
      <c r="F138" s="9" t="s">
        <v>477</v>
      </c>
      <c r="G138" s="8" t="s">
        <v>44</v>
      </c>
      <c r="H138" s="8">
        <v>3</v>
      </c>
      <c r="I138" s="8">
        <v>3</v>
      </c>
      <c r="J138" s="8" t="s">
        <v>264</v>
      </c>
      <c r="K138" s="9" t="s">
        <v>478</v>
      </c>
      <c r="L138" s="8">
        <v>701</v>
      </c>
      <c r="M138" s="8">
        <v>2025</v>
      </c>
      <c r="N138" s="8"/>
      <c r="O138" s="9" t="s">
        <v>479</v>
      </c>
      <c r="P138" s="9" t="s">
        <v>480</v>
      </c>
      <c r="Q138" s="9" t="s">
        <v>481</v>
      </c>
      <c r="R138" s="9" t="s">
        <v>31</v>
      </c>
      <c r="S138" s="8" t="s">
        <v>32</v>
      </c>
      <c r="T138" s="9" t="s">
        <v>33</v>
      </c>
      <c r="U138" s="8" t="s">
        <v>34</v>
      </c>
      <c r="V138" s="8" t="s">
        <v>482</v>
      </c>
    </row>
    <row r="139" spans="1:22" ht="15" customHeight="1">
      <c r="A139" s="8" t="s">
        <v>483</v>
      </c>
      <c r="B139" s="9" t="s">
        <v>73</v>
      </c>
      <c r="C139" s="9" t="s">
        <v>142</v>
      </c>
      <c r="D139" s="33" t="s">
        <v>960</v>
      </c>
      <c r="E139" s="33">
        <v>8</v>
      </c>
      <c r="F139" s="9" t="s">
        <v>484</v>
      </c>
      <c r="G139" s="8" t="s">
        <v>44</v>
      </c>
      <c r="H139" s="8">
        <v>3</v>
      </c>
      <c r="I139" s="8">
        <v>3</v>
      </c>
      <c r="J139" s="8" t="s">
        <v>264</v>
      </c>
      <c r="K139" s="9" t="s">
        <v>478</v>
      </c>
      <c r="L139" s="8">
        <v>701</v>
      </c>
      <c r="M139" s="8">
        <v>2025</v>
      </c>
      <c r="N139" s="8"/>
      <c r="O139" s="9" t="s">
        <v>485</v>
      </c>
      <c r="P139" s="9" t="s">
        <v>480</v>
      </c>
      <c r="Q139" s="9" t="s">
        <v>486</v>
      </c>
      <c r="R139" s="9" t="s">
        <v>31</v>
      </c>
      <c r="S139" s="8" t="s">
        <v>32</v>
      </c>
      <c r="T139" s="9" t="s">
        <v>33</v>
      </c>
      <c r="U139" s="8" t="s">
        <v>34</v>
      </c>
      <c r="V139" s="8" t="s">
        <v>487</v>
      </c>
    </row>
    <row r="140" spans="1:22" ht="15" customHeight="1">
      <c r="A140" s="8" t="s">
        <v>488</v>
      </c>
      <c r="B140" s="9" t="s">
        <v>73</v>
      </c>
      <c r="C140" s="9" t="s">
        <v>142</v>
      </c>
      <c r="D140" s="33" t="s">
        <v>960</v>
      </c>
      <c r="E140" s="33">
        <v>9</v>
      </c>
      <c r="F140" s="9" t="s">
        <v>489</v>
      </c>
      <c r="G140" s="8" t="s">
        <v>44</v>
      </c>
      <c r="H140" s="8">
        <v>6</v>
      </c>
      <c r="I140" s="8">
        <v>6</v>
      </c>
      <c r="J140" s="8" t="s">
        <v>264</v>
      </c>
      <c r="K140" s="9" t="s">
        <v>478</v>
      </c>
      <c r="L140" s="8">
        <v>701</v>
      </c>
      <c r="M140" s="8">
        <v>2025</v>
      </c>
      <c r="N140" s="8"/>
      <c r="O140" s="9" t="s">
        <v>490</v>
      </c>
      <c r="P140" s="9" t="s">
        <v>491</v>
      </c>
      <c r="Q140" s="9" t="s">
        <v>492</v>
      </c>
      <c r="R140" s="9" t="s">
        <v>31</v>
      </c>
      <c r="S140" s="8" t="s">
        <v>32</v>
      </c>
      <c r="T140" s="9" t="s">
        <v>33</v>
      </c>
      <c r="U140" s="8" t="s">
        <v>34</v>
      </c>
      <c r="V140" s="8" t="s">
        <v>493</v>
      </c>
    </row>
    <row r="141" spans="1:22" ht="15" customHeight="1">
      <c r="A141" s="8" t="s">
        <v>494</v>
      </c>
      <c r="B141" s="9" t="s">
        <v>73</v>
      </c>
      <c r="C141" s="9" t="s">
        <v>142</v>
      </c>
      <c r="D141" s="33" t="s">
        <v>959</v>
      </c>
      <c r="E141" s="33">
        <v>6</v>
      </c>
      <c r="F141" s="9" t="s">
        <v>495</v>
      </c>
      <c r="G141" s="8" t="s">
        <v>44</v>
      </c>
      <c r="H141" s="8">
        <v>3</v>
      </c>
      <c r="I141" s="8">
        <v>3</v>
      </c>
      <c r="J141" s="8" t="s">
        <v>264</v>
      </c>
      <c r="K141" s="9" t="s">
        <v>496</v>
      </c>
      <c r="L141" s="8">
        <v>701</v>
      </c>
      <c r="M141" s="8">
        <v>2025</v>
      </c>
      <c r="N141" s="8"/>
      <c r="O141" s="9" t="s">
        <v>497</v>
      </c>
      <c r="P141" s="9" t="s">
        <v>498</v>
      </c>
      <c r="Q141" s="9" t="s">
        <v>499</v>
      </c>
      <c r="R141" s="9" t="s">
        <v>31</v>
      </c>
      <c r="S141" s="8" t="s">
        <v>32</v>
      </c>
      <c r="T141" s="9" t="s">
        <v>33</v>
      </c>
      <c r="U141" s="8" t="s">
        <v>34</v>
      </c>
      <c r="V141" s="8" t="s">
        <v>500</v>
      </c>
    </row>
    <row r="142" spans="1:22" ht="15" customHeight="1">
      <c r="A142" s="8" t="s">
        <v>501</v>
      </c>
      <c r="B142" s="9" t="s">
        <v>73</v>
      </c>
      <c r="C142" s="9" t="s">
        <v>142</v>
      </c>
      <c r="D142" s="9" t="s">
        <v>157</v>
      </c>
      <c r="E142" s="9"/>
      <c r="F142" s="9" t="s">
        <v>502</v>
      </c>
      <c r="G142" s="8" t="s">
        <v>44</v>
      </c>
      <c r="H142" s="8">
        <v>0</v>
      </c>
      <c r="I142" s="8">
        <v>0</v>
      </c>
      <c r="J142" s="8" t="s">
        <v>264</v>
      </c>
      <c r="K142" s="9" t="s">
        <v>503</v>
      </c>
      <c r="L142" s="8">
        <v>698</v>
      </c>
      <c r="M142" s="8">
        <v>2025</v>
      </c>
      <c r="N142" s="8"/>
      <c r="O142" s="9" t="s">
        <v>504</v>
      </c>
      <c r="P142" s="9" t="s">
        <v>505</v>
      </c>
      <c r="Q142" s="9" t="s">
        <v>506</v>
      </c>
      <c r="R142" s="9" t="s">
        <v>31</v>
      </c>
      <c r="S142" s="8" t="s">
        <v>32</v>
      </c>
      <c r="T142" s="9" t="s">
        <v>33</v>
      </c>
      <c r="U142" s="8" t="s">
        <v>34</v>
      </c>
      <c r="V142" s="8" t="s">
        <v>507</v>
      </c>
    </row>
    <row r="143" spans="1:22" ht="15" customHeight="1">
      <c r="A143" s="8" t="s">
        <v>508</v>
      </c>
      <c r="B143" s="9" t="s">
        <v>73</v>
      </c>
      <c r="C143" s="9" t="s">
        <v>142</v>
      </c>
      <c r="D143" s="9" t="s">
        <v>148</v>
      </c>
      <c r="E143" s="9"/>
      <c r="F143" s="9" t="s">
        <v>509</v>
      </c>
      <c r="G143" s="8" t="s">
        <v>44</v>
      </c>
      <c r="H143" s="8">
        <v>0</v>
      </c>
      <c r="I143" s="8">
        <v>0</v>
      </c>
      <c r="J143" s="8" t="s">
        <v>264</v>
      </c>
      <c r="K143" s="9" t="s">
        <v>510</v>
      </c>
      <c r="L143" s="8">
        <v>683</v>
      </c>
      <c r="M143" s="8">
        <v>2025</v>
      </c>
      <c r="N143" s="8"/>
      <c r="O143" s="8" t="s">
        <v>511</v>
      </c>
      <c r="P143" s="9" t="s">
        <v>512</v>
      </c>
      <c r="Q143" s="9" t="s">
        <v>513</v>
      </c>
      <c r="R143" s="9" t="s">
        <v>55</v>
      </c>
      <c r="S143" s="8" t="s">
        <v>32</v>
      </c>
      <c r="T143" s="9" t="s">
        <v>33</v>
      </c>
      <c r="U143" s="8" t="s">
        <v>34</v>
      </c>
      <c r="V143" s="8" t="s">
        <v>514</v>
      </c>
    </row>
    <row r="144" spans="1:22" ht="15" customHeight="1">
      <c r="A144" s="8" t="s">
        <v>515</v>
      </c>
      <c r="B144" s="9" t="s">
        <v>73</v>
      </c>
      <c r="C144" s="9" t="s">
        <v>142</v>
      </c>
      <c r="D144" s="9" t="s">
        <v>516</v>
      </c>
      <c r="E144" s="9"/>
      <c r="F144" s="9" t="s">
        <v>517</v>
      </c>
      <c r="G144" s="8" t="s">
        <v>203</v>
      </c>
      <c r="H144" s="8">
        <v>5</v>
      </c>
      <c r="I144" s="8">
        <v>5</v>
      </c>
      <c r="J144" s="8" t="s">
        <v>264</v>
      </c>
      <c r="K144" s="9" t="s">
        <v>518</v>
      </c>
      <c r="L144" s="8">
        <v>705</v>
      </c>
      <c r="M144" s="8">
        <v>2025</v>
      </c>
      <c r="N144" s="8"/>
      <c r="O144" s="8" t="s">
        <v>519</v>
      </c>
      <c r="P144" s="9" t="s">
        <v>520</v>
      </c>
      <c r="Q144" s="9" t="s">
        <v>521</v>
      </c>
      <c r="R144" s="9" t="s">
        <v>31</v>
      </c>
      <c r="S144" s="8" t="s">
        <v>32</v>
      </c>
      <c r="T144" s="9" t="s">
        <v>33</v>
      </c>
      <c r="U144" s="8" t="s">
        <v>34</v>
      </c>
      <c r="V144" s="8" t="s">
        <v>522</v>
      </c>
    </row>
    <row r="145" spans="1:22" ht="15" customHeight="1">
      <c r="A145" s="8" t="s">
        <v>523</v>
      </c>
      <c r="B145" s="9" t="s">
        <v>73</v>
      </c>
      <c r="C145" s="9" t="s">
        <v>87</v>
      </c>
      <c r="D145" s="9" t="s">
        <v>524</v>
      </c>
      <c r="E145" s="9"/>
      <c r="F145" s="9" t="s">
        <v>525</v>
      </c>
      <c r="G145" s="8" t="s">
        <v>203</v>
      </c>
      <c r="H145" s="8">
        <v>3</v>
      </c>
      <c r="I145" s="8">
        <v>3</v>
      </c>
      <c r="J145" s="8" t="s">
        <v>264</v>
      </c>
      <c r="K145" s="8" t="s">
        <v>526</v>
      </c>
      <c r="L145" s="8">
        <v>680</v>
      </c>
      <c r="M145" s="8">
        <v>2025</v>
      </c>
      <c r="N145" s="8"/>
      <c r="O145" s="9" t="s">
        <v>527</v>
      </c>
      <c r="P145" s="9" t="s">
        <v>528</v>
      </c>
      <c r="Q145" s="9" t="s">
        <v>529</v>
      </c>
      <c r="R145" s="9" t="s">
        <v>31</v>
      </c>
      <c r="S145" s="8" t="s">
        <v>213</v>
      </c>
      <c r="T145" s="9" t="s">
        <v>33</v>
      </c>
      <c r="U145" s="8" t="s">
        <v>34</v>
      </c>
      <c r="V145" s="8" t="s">
        <v>530</v>
      </c>
    </row>
    <row r="146" spans="1:22" ht="15" customHeight="1">
      <c r="A146" s="8" t="s">
        <v>531</v>
      </c>
      <c r="B146" s="9" t="s">
        <v>73</v>
      </c>
      <c r="C146" s="9" t="s">
        <v>23</v>
      </c>
      <c r="D146" s="9" t="s">
        <v>532</v>
      </c>
      <c r="E146" s="9"/>
      <c r="F146" s="9" t="s">
        <v>533</v>
      </c>
      <c r="G146" s="9" t="s">
        <v>198</v>
      </c>
      <c r="H146" s="8">
        <v>13</v>
      </c>
      <c r="I146" s="8">
        <v>13</v>
      </c>
      <c r="J146" s="8" t="s">
        <v>264</v>
      </c>
      <c r="K146" s="8" t="s">
        <v>534</v>
      </c>
      <c r="L146" s="8">
        <v>726</v>
      </c>
      <c r="M146" s="8">
        <v>2025</v>
      </c>
      <c r="N146" s="8"/>
      <c r="O146" s="8" t="s">
        <v>535</v>
      </c>
      <c r="P146" s="9" t="s">
        <v>536</v>
      </c>
      <c r="Q146" s="9" t="s">
        <v>537</v>
      </c>
      <c r="R146" s="9" t="s">
        <v>31</v>
      </c>
      <c r="S146" s="8" t="s">
        <v>32</v>
      </c>
      <c r="T146" s="9" t="s">
        <v>33</v>
      </c>
      <c r="U146" s="8" t="s">
        <v>34</v>
      </c>
      <c r="V146" s="8" t="s">
        <v>538</v>
      </c>
    </row>
    <row r="147" spans="1:22" ht="15" customHeight="1">
      <c r="A147" s="8" t="s">
        <v>539</v>
      </c>
      <c r="B147" s="9" t="s">
        <v>73</v>
      </c>
      <c r="C147" s="9" t="s">
        <v>23</v>
      </c>
      <c r="D147" s="9" t="s">
        <v>540</v>
      </c>
      <c r="E147" s="9"/>
      <c r="F147" s="9" t="s">
        <v>541</v>
      </c>
      <c r="G147" s="9" t="s">
        <v>198</v>
      </c>
      <c r="H147" s="8">
        <v>10</v>
      </c>
      <c r="I147" s="8">
        <v>10</v>
      </c>
      <c r="J147" s="8" t="s">
        <v>264</v>
      </c>
      <c r="K147" s="9" t="s">
        <v>542</v>
      </c>
      <c r="L147" s="8">
        <v>959</v>
      </c>
      <c r="M147" s="8">
        <v>2025</v>
      </c>
      <c r="N147" s="8"/>
      <c r="O147" s="9" t="s">
        <v>543</v>
      </c>
      <c r="P147" s="9" t="s">
        <v>544</v>
      </c>
      <c r="Q147" s="9" t="s">
        <v>545</v>
      </c>
      <c r="R147" s="9" t="s">
        <v>55</v>
      </c>
      <c r="S147" s="8" t="s">
        <v>32</v>
      </c>
      <c r="T147" s="9" t="s">
        <v>33</v>
      </c>
      <c r="U147" s="8" t="s">
        <v>34</v>
      </c>
      <c r="V147" s="8" t="s">
        <v>546</v>
      </c>
    </row>
    <row r="148" spans="1:22" ht="15" customHeight="1">
      <c r="A148" s="8" t="s">
        <v>547</v>
      </c>
      <c r="B148" s="9" t="s">
        <v>73</v>
      </c>
      <c r="C148" s="9" t="s">
        <v>23</v>
      </c>
      <c r="D148" s="9" t="s">
        <v>548</v>
      </c>
      <c r="E148" s="9"/>
      <c r="F148" s="9" t="s">
        <v>549</v>
      </c>
      <c r="G148" s="9" t="s">
        <v>198</v>
      </c>
      <c r="H148" s="8">
        <v>10</v>
      </c>
      <c r="I148" s="8">
        <v>10</v>
      </c>
      <c r="J148" s="8" t="s">
        <v>264</v>
      </c>
      <c r="K148" s="8" t="s">
        <v>550</v>
      </c>
      <c r="L148" s="8">
        <v>875</v>
      </c>
      <c r="M148" s="8">
        <v>2025</v>
      </c>
      <c r="N148" s="8"/>
      <c r="O148" s="9" t="s">
        <v>551</v>
      </c>
      <c r="P148" s="9" t="s">
        <v>552</v>
      </c>
      <c r="Q148" s="9" t="s">
        <v>553</v>
      </c>
      <c r="R148" s="9" t="s">
        <v>55</v>
      </c>
      <c r="S148" s="8" t="s">
        <v>32</v>
      </c>
      <c r="T148" s="9" t="s">
        <v>33</v>
      </c>
      <c r="U148" s="8" t="s">
        <v>34</v>
      </c>
      <c r="V148" s="8" t="s">
        <v>554</v>
      </c>
    </row>
    <row r="149" spans="1:22" ht="15" customHeight="1">
      <c r="A149" s="8" t="s">
        <v>555</v>
      </c>
      <c r="B149" s="9" t="s">
        <v>73</v>
      </c>
      <c r="C149" s="9" t="s">
        <v>23</v>
      </c>
      <c r="D149" s="10" t="s">
        <v>556</v>
      </c>
      <c r="E149" s="10"/>
      <c r="F149" s="9"/>
      <c r="G149" s="9" t="s">
        <v>198</v>
      </c>
      <c r="H149" s="8">
        <v>5</v>
      </c>
      <c r="I149" s="8">
        <v>5</v>
      </c>
      <c r="J149" s="8" t="s">
        <v>264</v>
      </c>
      <c r="K149" s="8" t="s">
        <v>557</v>
      </c>
      <c r="L149" s="8">
        <v>1025</v>
      </c>
      <c r="M149" s="8">
        <v>2025</v>
      </c>
      <c r="N149" s="8"/>
      <c r="O149" s="9" t="s">
        <v>558</v>
      </c>
      <c r="P149" s="9"/>
      <c r="Q149" s="9" t="s">
        <v>559</v>
      </c>
      <c r="R149" s="9" t="s">
        <v>55</v>
      </c>
      <c r="S149" s="8" t="s">
        <v>32</v>
      </c>
      <c r="T149" s="9" t="s">
        <v>33</v>
      </c>
      <c r="U149" s="8" t="s">
        <v>34</v>
      </c>
      <c r="V149" s="8" t="s">
        <v>560</v>
      </c>
    </row>
    <row r="150" spans="1:22" ht="15" customHeight="1">
      <c r="A150" s="8" t="s">
        <v>561</v>
      </c>
      <c r="B150" s="9" t="s">
        <v>73</v>
      </c>
      <c r="C150" s="9" t="s">
        <v>47</v>
      </c>
      <c r="D150" s="9" t="s">
        <v>48</v>
      </c>
      <c r="E150" s="9"/>
      <c r="F150" s="9" t="s">
        <v>562</v>
      </c>
      <c r="G150" s="8" t="s">
        <v>50</v>
      </c>
      <c r="H150" s="8">
        <v>2</v>
      </c>
      <c r="I150" s="8">
        <v>2</v>
      </c>
      <c r="J150" s="8" t="s">
        <v>563</v>
      </c>
      <c r="K150" s="8" t="s">
        <v>564</v>
      </c>
      <c r="L150" s="8">
        <v>12</v>
      </c>
      <c r="M150" s="8">
        <v>2025</v>
      </c>
      <c r="N150" s="8"/>
      <c r="O150" s="9" t="s">
        <v>48</v>
      </c>
      <c r="P150" s="9" t="s">
        <v>565</v>
      </c>
      <c r="Q150" s="9" t="s">
        <v>566</v>
      </c>
      <c r="R150" s="9" t="s">
        <v>31</v>
      </c>
      <c r="S150" s="8" t="s">
        <v>32</v>
      </c>
      <c r="T150" s="9" t="s">
        <v>33</v>
      </c>
      <c r="U150" s="8" t="s">
        <v>34</v>
      </c>
      <c r="V150" s="8" t="s">
        <v>567</v>
      </c>
    </row>
    <row r="151" spans="1:22" ht="15" customHeight="1">
      <c r="A151" s="8" t="s">
        <v>568</v>
      </c>
      <c r="B151" s="9" t="s">
        <v>73</v>
      </c>
      <c r="C151" s="9" t="s">
        <v>47</v>
      </c>
      <c r="D151" s="9" t="s">
        <v>48</v>
      </c>
      <c r="E151" s="9"/>
      <c r="F151" s="9" t="s">
        <v>569</v>
      </c>
      <c r="G151" s="8" t="s">
        <v>50</v>
      </c>
      <c r="H151" s="8">
        <v>3</v>
      </c>
      <c r="I151" s="8">
        <v>3</v>
      </c>
      <c r="J151" s="8" t="s">
        <v>563</v>
      </c>
      <c r="K151" s="8" t="s">
        <v>564</v>
      </c>
      <c r="L151" s="8">
        <v>12</v>
      </c>
      <c r="M151" s="8">
        <v>2025</v>
      </c>
      <c r="N151" s="8"/>
      <c r="O151" s="9" t="s">
        <v>48</v>
      </c>
      <c r="P151" s="9" t="s">
        <v>565</v>
      </c>
      <c r="Q151" s="9" t="s">
        <v>570</v>
      </c>
      <c r="R151" s="9" t="s">
        <v>31</v>
      </c>
      <c r="S151" s="8" t="s">
        <v>32</v>
      </c>
      <c r="T151" s="9" t="s">
        <v>33</v>
      </c>
      <c r="U151" s="8" t="s">
        <v>34</v>
      </c>
      <c r="V151" s="8" t="s">
        <v>571</v>
      </c>
    </row>
    <row r="152" spans="1:22" ht="15" customHeight="1">
      <c r="A152" s="8" t="s">
        <v>572</v>
      </c>
      <c r="B152" s="9" t="s">
        <v>73</v>
      </c>
      <c r="C152" s="9" t="s">
        <v>47</v>
      </c>
      <c r="D152" s="9" t="s">
        <v>573</v>
      </c>
      <c r="E152" s="9"/>
      <c r="F152" s="9" t="s">
        <v>562</v>
      </c>
      <c r="G152" s="9" t="s">
        <v>26</v>
      </c>
      <c r="H152" s="8">
        <v>10</v>
      </c>
      <c r="I152" s="8">
        <v>10</v>
      </c>
      <c r="J152" s="8" t="s">
        <v>563</v>
      </c>
      <c r="K152" s="8" t="s">
        <v>564</v>
      </c>
      <c r="L152" s="8">
        <v>12</v>
      </c>
      <c r="M152" s="8">
        <v>2025</v>
      </c>
      <c r="N152" s="8"/>
      <c r="O152" s="9" t="s">
        <v>573</v>
      </c>
      <c r="P152" s="9" t="s">
        <v>565</v>
      </c>
      <c r="Q152" s="9" t="s">
        <v>566</v>
      </c>
      <c r="R152" s="9" t="s">
        <v>31</v>
      </c>
      <c r="S152" s="8" t="s">
        <v>32</v>
      </c>
      <c r="T152" s="9" t="s">
        <v>33</v>
      </c>
      <c r="U152" s="8" t="s">
        <v>34</v>
      </c>
      <c r="V152" s="8" t="s">
        <v>574</v>
      </c>
    </row>
    <row r="153" spans="1:22" ht="15" customHeight="1">
      <c r="A153" s="8" t="s">
        <v>575</v>
      </c>
      <c r="B153" s="9" t="s">
        <v>73</v>
      </c>
      <c r="C153" s="9" t="s">
        <v>47</v>
      </c>
      <c r="D153" s="9" t="s">
        <v>573</v>
      </c>
      <c r="E153" s="9"/>
      <c r="F153" s="9" t="s">
        <v>569</v>
      </c>
      <c r="G153" s="9" t="s">
        <v>26</v>
      </c>
      <c r="H153" s="8">
        <v>12</v>
      </c>
      <c r="I153" s="8">
        <v>12</v>
      </c>
      <c r="J153" s="8" t="s">
        <v>563</v>
      </c>
      <c r="K153" s="8" t="s">
        <v>564</v>
      </c>
      <c r="L153" s="8">
        <v>12</v>
      </c>
      <c r="M153" s="8">
        <v>2025</v>
      </c>
      <c r="N153" s="8"/>
      <c r="O153" s="9" t="s">
        <v>573</v>
      </c>
      <c r="P153" s="9" t="s">
        <v>565</v>
      </c>
      <c r="Q153" s="9" t="s">
        <v>570</v>
      </c>
      <c r="R153" s="9" t="s">
        <v>31</v>
      </c>
      <c r="S153" s="8" t="s">
        <v>32</v>
      </c>
      <c r="T153" s="9" t="s">
        <v>33</v>
      </c>
      <c r="U153" s="8" t="s">
        <v>34</v>
      </c>
      <c r="V153" s="8" t="s">
        <v>576</v>
      </c>
    </row>
    <row r="154" spans="1:22" ht="15" customHeight="1">
      <c r="A154" s="8" t="s">
        <v>577</v>
      </c>
      <c r="B154" s="9" t="s">
        <v>73</v>
      </c>
      <c r="C154" s="9" t="s">
        <v>47</v>
      </c>
      <c r="D154" s="9" t="s">
        <v>57</v>
      </c>
      <c r="E154" s="9"/>
      <c r="F154" s="9" t="s">
        <v>562</v>
      </c>
      <c r="G154" s="9" t="s">
        <v>26</v>
      </c>
      <c r="H154" s="8">
        <v>3</v>
      </c>
      <c r="I154" s="8">
        <v>3</v>
      </c>
      <c r="J154" s="8" t="s">
        <v>563</v>
      </c>
      <c r="K154" s="8" t="s">
        <v>564</v>
      </c>
      <c r="L154" s="8">
        <v>12</v>
      </c>
      <c r="M154" s="8">
        <v>2025</v>
      </c>
      <c r="N154" s="8"/>
      <c r="O154" s="9" t="s">
        <v>57</v>
      </c>
      <c r="P154" s="9" t="s">
        <v>565</v>
      </c>
      <c r="Q154" s="9" t="s">
        <v>566</v>
      </c>
      <c r="R154" s="9" t="s">
        <v>31</v>
      </c>
      <c r="S154" s="8" t="s">
        <v>32</v>
      </c>
      <c r="T154" s="9" t="s">
        <v>33</v>
      </c>
      <c r="U154" s="8" t="s">
        <v>34</v>
      </c>
      <c r="V154" s="8" t="s">
        <v>578</v>
      </c>
    </row>
    <row r="155" spans="1:22" ht="15" customHeight="1">
      <c r="A155" s="8" t="s">
        <v>579</v>
      </c>
      <c r="B155" s="9" t="s">
        <v>73</v>
      </c>
      <c r="C155" s="9" t="s">
        <v>47</v>
      </c>
      <c r="D155" s="9" t="s">
        <v>57</v>
      </c>
      <c r="E155" s="9"/>
      <c r="F155" s="9" t="s">
        <v>569</v>
      </c>
      <c r="G155" s="9" t="s">
        <v>26</v>
      </c>
      <c r="H155" s="8">
        <v>5</v>
      </c>
      <c r="I155" s="8">
        <v>5</v>
      </c>
      <c r="J155" s="8" t="s">
        <v>563</v>
      </c>
      <c r="K155" s="8" t="s">
        <v>564</v>
      </c>
      <c r="L155" s="8">
        <v>12</v>
      </c>
      <c r="M155" s="8">
        <v>2025</v>
      </c>
      <c r="N155" s="8"/>
      <c r="O155" s="9" t="s">
        <v>57</v>
      </c>
      <c r="P155" s="9" t="s">
        <v>565</v>
      </c>
      <c r="Q155" s="9" t="s">
        <v>570</v>
      </c>
      <c r="R155" s="9" t="s">
        <v>31</v>
      </c>
      <c r="S155" s="8" t="s">
        <v>32</v>
      </c>
      <c r="T155" s="9" t="s">
        <v>33</v>
      </c>
      <c r="U155" s="8" t="s">
        <v>34</v>
      </c>
      <c r="V155" s="8" t="s">
        <v>580</v>
      </c>
    </row>
    <row r="156" spans="1:22" ht="15" customHeight="1">
      <c r="A156" s="8" t="s">
        <v>581</v>
      </c>
      <c r="B156" s="9" t="s">
        <v>73</v>
      </c>
      <c r="C156" s="9" t="s">
        <v>47</v>
      </c>
      <c r="D156" s="9" t="s">
        <v>43</v>
      </c>
      <c r="E156" s="9"/>
      <c r="F156" s="9" t="s">
        <v>562</v>
      </c>
      <c r="G156" s="8" t="s">
        <v>44</v>
      </c>
      <c r="H156" s="8">
        <v>2</v>
      </c>
      <c r="I156" s="8">
        <v>2</v>
      </c>
      <c r="J156" s="8" t="s">
        <v>563</v>
      </c>
      <c r="K156" s="8" t="s">
        <v>564</v>
      </c>
      <c r="L156" s="8">
        <v>12</v>
      </c>
      <c r="M156" s="8">
        <v>2025</v>
      </c>
      <c r="N156" s="8"/>
      <c r="O156" s="9" t="s">
        <v>43</v>
      </c>
      <c r="P156" s="9" t="s">
        <v>565</v>
      </c>
      <c r="Q156" s="9" t="s">
        <v>566</v>
      </c>
      <c r="R156" s="9" t="s">
        <v>31</v>
      </c>
      <c r="S156" s="8" t="s">
        <v>32</v>
      </c>
      <c r="T156" s="9" t="s">
        <v>33</v>
      </c>
      <c r="U156" s="8" t="s">
        <v>34</v>
      </c>
      <c r="V156" s="8" t="s">
        <v>582</v>
      </c>
    </row>
    <row r="157" spans="1:22" ht="15" customHeight="1">
      <c r="A157" s="8" t="s">
        <v>583</v>
      </c>
      <c r="B157" s="9" t="s">
        <v>73</v>
      </c>
      <c r="C157" s="9" t="s">
        <v>47</v>
      </c>
      <c r="D157" s="9" t="s">
        <v>43</v>
      </c>
      <c r="E157" s="9"/>
      <c r="F157" s="9" t="s">
        <v>569</v>
      </c>
      <c r="G157" s="8" t="s">
        <v>44</v>
      </c>
      <c r="H157" s="8">
        <v>3</v>
      </c>
      <c r="I157" s="8">
        <v>3</v>
      </c>
      <c r="J157" s="8" t="s">
        <v>563</v>
      </c>
      <c r="K157" s="8" t="s">
        <v>564</v>
      </c>
      <c r="L157" s="8">
        <v>12</v>
      </c>
      <c r="M157" s="8">
        <v>2025</v>
      </c>
      <c r="N157" s="8"/>
      <c r="O157" s="9" t="s">
        <v>43</v>
      </c>
      <c r="P157" s="9" t="s">
        <v>565</v>
      </c>
      <c r="Q157" s="9" t="s">
        <v>570</v>
      </c>
      <c r="R157" s="9" t="s">
        <v>31</v>
      </c>
      <c r="S157" s="8" t="s">
        <v>32</v>
      </c>
      <c r="T157" s="9" t="s">
        <v>33</v>
      </c>
      <c r="U157" s="8" t="s">
        <v>34</v>
      </c>
      <c r="V157" s="8" t="s">
        <v>584</v>
      </c>
    </row>
    <row r="158" spans="1:22" ht="15" customHeight="1">
      <c r="A158" s="8" t="s">
        <v>585</v>
      </c>
      <c r="B158" s="9" t="s">
        <v>73</v>
      </c>
      <c r="C158" s="9" t="s">
        <v>47</v>
      </c>
      <c r="D158" s="9" t="s">
        <v>60</v>
      </c>
      <c r="E158" s="9"/>
      <c r="F158" s="9" t="s">
        <v>562</v>
      </c>
      <c r="G158" s="9" t="s">
        <v>26</v>
      </c>
      <c r="H158" s="8">
        <v>2</v>
      </c>
      <c r="I158" s="8">
        <v>2</v>
      </c>
      <c r="J158" s="8" t="s">
        <v>563</v>
      </c>
      <c r="K158" s="8" t="s">
        <v>564</v>
      </c>
      <c r="L158" s="8">
        <v>12</v>
      </c>
      <c r="M158" s="8">
        <v>2025</v>
      </c>
      <c r="N158" s="8"/>
      <c r="O158" s="9" t="s">
        <v>60</v>
      </c>
      <c r="P158" s="9" t="s">
        <v>565</v>
      </c>
      <c r="Q158" s="9" t="s">
        <v>566</v>
      </c>
      <c r="R158" s="9" t="s">
        <v>31</v>
      </c>
      <c r="S158" s="8" t="s">
        <v>32</v>
      </c>
      <c r="T158" s="9" t="s">
        <v>33</v>
      </c>
      <c r="U158" s="8" t="s">
        <v>34</v>
      </c>
      <c r="V158" s="8" t="s">
        <v>586</v>
      </c>
    </row>
    <row r="159" spans="1:22" ht="15" customHeight="1">
      <c r="A159" s="8" t="s">
        <v>587</v>
      </c>
      <c r="B159" s="9" t="s">
        <v>73</v>
      </c>
      <c r="C159" s="9" t="s">
        <v>47</v>
      </c>
      <c r="D159" s="9" t="s">
        <v>60</v>
      </c>
      <c r="E159" s="9"/>
      <c r="F159" s="9" t="s">
        <v>569</v>
      </c>
      <c r="G159" s="9" t="s">
        <v>26</v>
      </c>
      <c r="H159" s="8">
        <v>3</v>
      </c>
      <c r="I159" s="8">
        <v>3</v>
      </c>
      <c r="J159" s="8" t="s">
        <v>563</v>
      </c>
      <c r="K159" s="8" t="s">
        <v>564</v>
      </c>
      <c r="L159" s="8">
        <v>12</v>
      </c>
      <c r="M159" s="8">
        <v>2025</v>
      </c>
      <c r="N159" s="8"/>
      <c r="O159" s="9" t="s">
        <v>60</v>
      </c>
      <c r="P159" s="9" t="s">
        <v>565</v>
      </c>
      <c r="Q159" s="9" t="s">
        <v>570</v>
      </c>
      <c r="R159" s="9" t="s">
        <v>31</v>
      </c>
      <c r="S159" s="8" t="s">
        <v>32</v>
      </c>
      <c r="T159" s="9" t="s">
        <v>33</v>
      </c>
      <c r="U159" s="8" t="s">
        <v>34</v>
      </c>
      <c r="V159" s="8" t="s">
        <v>588</v>
      </c>
    </row>
    <row r="160" spans="1:22" ht="15" customHeight="1">
      <c r="A160" s="8" t="s">
        <v>589</v>
      </c>
      <c r="B160" s="9" t="s">
        <v>73</v>
      </c>
      <c r="C160" s="9" t="s">
        <v>47</v>
      </c>
      <c r="D160" s="9" t="s">
        <v>62</v>
      </c>
      <c r="E160" s="9"/>
      <c r="F160" s="9" t="s">
        <v>562</v>
      </c>
      <c r="G160" s="8" t="s">
        <v>50</v>
      </c>
      <c r="H160" s="8">
        <v>2</v>
      </c>
      <c r="I160" s="8">
        <v>2</v>
      </c>
      <c r="J160" s="8" t="s">
        <v>563</v>
      </c>
      <c r="K160" s="8" t="s">
        <v>564</v>
      </c>
      <c r="L160" s="8">
        <v>12</v>
      </c>
      <c r="M160" s="8">
        <v>2025</v>
      </c>
      <c r="N160" s="8"/>
      <c r="O160" s="9" t="s">
        <v>62</v>
      </c>
      <c r="P160" s="9" t="s">
        <v>565</v>
      </c>
      <c r="Q160" s="9" t="s">
        <v>566</v>
      </c>
      <c r="R160" s="9" t="s">
        <v>31</v>
      </c>
      <c r="S160" s="8" t="s">
        <v>32</v>
      </c>
      <c r="T160" s="9" t="s">
        <v>33</v>
      </c>
      <c r="U160" s="8" t="s">
        <v>34</v>
      </c>
      <c r="V160" s="8" t="s">
        <v>590</v>
      </c>
    </row>
    <row r="161" spans="1:22" ht="15" customHeight="1">
      <c r="A161" s="8" t="s">
        <v>591</v>
      </c>
      <c r="B161" s="9" t="s">
        <v>73</v>
      </c>
      <c r="C161" s="9" t="s">
        <v>74</v>
      </c>
      <c r="D161" s="9" t="s">
        <v>75</v>
      </c>
      <c r="E161" s="9"/>
      <c r="F161" s="9" t="s">
        <v>76</v>
      </c>
      <c r="G161" s="9" t="s">
        <v>26</v>
      </c>
      <c r="H161" s="8">
        <v>6</v>
      </c>
      <c r="I161" s="8">
        <v>6</v>
      </c>
      <c r="J161" s="8" t="s">
        <v>563</v>
      </c>
      <c r="K161" s="8" t="s">
        <v>592</v>
      </c>
      <c r="L161" s="8">
        <v>12</v>
      </c>
      <c r="M161" s="8">
        <v>2025</v>
      </c>
      <c r="N161" s="8"/>
      <c r="O161" s="9" t="s">
        <v>75</v>
      </c>
      <c r="P161" s="8"/>
      <c r="Q161" s="9" t="s">
        <v>593</v>
      </c>
      <c r="R161" s="9" t="s">
        <v>31</v>
      </c>
      <c r="S161" s="8" t="s">
        <v>32</v>
      </c>
      <c r="T161" s="9" t="s">
        <v>33</v>
      </c>
      <c r="U161" s="8" t="s">
        <v>34</v>
      </c>
      <c r="V161" s="8" t="s">
        <v>594</v>
      </c>
    </row>
    <row r="162" spans="1:22" ht="15" customHeight="1">
      <c r="A162" s="8" t="s">
        <v>595</v>
      </c>
      <c r="B162" s="9" t="s">
        <v>73</v>
      </c>
      <c r="C162" s="9" t="s">
        <v>74</v>
      </c>
      <c r="D162" s="9" t="s">
        <v>79</v>
      </c>
      <c r="E162" s="9"/>
      <c r="F162" s="9" t="s">
        <v>76</v>
      </c>
      <c r="G162" s="9" t="s">
        <v>26</v>
      </c>
      <c r="H162" s="8">
        <v>2</v>
      </c>
      <c r="I162" s="8">
        <v>4</v>
      </c>
      <c r="J162" s="8" t="s">
        <v>563</v>
      </c>
      <c r="K162" s="8" t="s">
        <v>592</v>
      </c>
      <c r="L162" s="8">
        <v>12</v>
      </c>
      <c r="M162" s="8">
        <v>2025</v>
      </c>
      <c r="N162" s="8"/>
      <c r="O162" s="9" t="s">
        <v>79</v>
      </c>
      <c r="P162" s="9" t="s">
        <v>596</v>
      </c>
      <c r="Q162" s="9" t="s">
        <v>593</v>
      </c>
      <c r="R162" s="9" t="s">
        <v>31</v>
      </c>
      <c r="S162" s="8" t="s">
        <v>32</v>
      </c>
      <c r="T162" s="9" t="s">
        <v>33</v>
      </c>
      <c r="U162" s="8" t="s">
        <v>34</v>
      </c>
      <c r="V162" s="8" t="s">
        <v>597</v>
      </c>
    </row>
    <row r="163" spans="1:22" ht="15" customHeight="1">
      <c r="A163" s="8" t="s">
        <v>598</v>
      </c>
      <c r="B163" s="9" t="s">
        <v>73</v>
      </c>
      <c r="C163" s="9" t="s">
        <v>74</v>
      </c>
      <c r="D163" s="9" t="s">
        <v>81</v>
      </c>
      <c r="E163" s="9"/>
      <c r="F163" s="9" t="s">
        <v>76</v>
      </c>
      <c r="G163" s="9" t="s">
        <v>26</v>
      </c>
      <c r="H163" s="8">
        <v>2</v>
      </c>
      <c r="I163" s="8">
        <v>4</v>
      </c>
      <c r="J163" s="8" t="s">
        <v>563</v>
      </c>
      <c r="K163" s="8" t="s">
        <v>592</v>
      </c>
      <c r="L163" s="8">
        <v>12</v>
      </c>
      <c r="M163" s="8">
        <v>2025</v>
      </c>
      <c r="N163" s="8"/>
      <c r="O163" s="9" t="s">
        <v>81</v>
      </c>
      <c r="P163" s="9" t="s">
        <v>596</v>
      </c>
      <c r="Q163" s="9" t="s">
        <v>593</v>
      </c>
      <c r="R163" s="9" t="s">
        <v>55</v>
      </c>
      <c r="S163" s="8" t="s">
        <v>32</v>
      </c>
      <c r="T163" s="9" t="s">
        <v>33</v>
      </c>
      <c r="U163" s="8" t="s">
        <v>34</v>
      </c>
      <c r="V163" s="8" t="s">
        <v>599</v>
      </c>
    </row>
    <row r="164" spans="1:22" ht="15" customHeight="1">
      <c r="A164" s="8" t="s">
        <v>600</v>
      </c>
      <c r="B164" s="9" t="s">
        <v>73</v>
      </c>
      <c r="C164" s="9" t="s">
        <v>74</v>
      </c>
      <c r="D164" s="9" t="s">
        <v>83</v>
      </c>
      <c r="E164" s="9"/>
      <c r="F164" s="9" t="s">
        <v>76</v>
      </c>
      <c r="G164" s="9" t="s">
        <v>26</v>
      </c>
      <c r="H164" s="8">
        <v>2</v>
      </c>
      <c r="I164" s="8">
        <v>4</v>
      </c>
      <c r="J164" s="8" t="s">
        <v>563</v>
      </c>
      <c r="K164" s="8" t="s">
        <v>592</v>
      </c>
      <c r="L164" s="8">
        <v>12</v>
      </c>
      <c r="M164" s="8">
        <v>2025</v>
      </c>
      <c r="N164" s="8"/>
      <c r="O164" s="9" t="s">
        <v>83</v>
      </c>
      <c r="P164" s="9" t="s">
        <v>596</v>
      </c>
      <c r="Q164" s="9" t="s">
        <v>593</v>
      </c>
      <c r="R164" s="9" t="s">
        <v>55</v>
      </c>
      <c r="S164" s="8" t="s">
        <v>32</v>
      </c>
      <c r="T164" s="9" t="s">
        <v>33</v>
      </c>
      <c r="U164" s="8" t="s">
        <v>34</v>
      </c>
      <c r="V164" s="8" t="s">
        <v>601</v>
      </c>
    </row>
    <row r="165" spans="1:22" ht="15" customHeight="1">
      <c r="A165" s="8" t="s">
        <v>602</v>
      </c>
      <c r="B165" s="9" t="s">
        <v>73</v>
      </c>
      <c r="C165" s="9" t="s">
        <v>74</v>
      </c>
      <c r="D165" s="9" t="s">
        <v>60</v>
      </c>
      <c r="E165" s="9"/>
      <c r="F165" s="9" t="s">
        <v>76</v>
      </c>
      <c r="G165" s="9" t="s">
        <v>26</v>
      </c>
      <c r="H165" s="8">
        <v>0</v>
      </c>
      <c r="I165" s="8">
        <v>0</v>
      </c>
      <c r="J165" s="8" t="s">
        <v>563</v>
      </c>
      <c r="K165" s="8" t="s">
        <v>592</v>
      </c>
      <c r="L165" s="8">
        <v>12</v>
      </c>
      <c r="M165" s="8">
        <v>2025</v>
      </c>
      <c r="N165" s="8"/>
      <c r="O165" s="9" t="s">
        <v>60</v>
      </c>
      <c r="P165" s="9" t="s">
        <v>603</v>
      </c>
      <c r="Q165" s="9" t="s">
        <v>593</v>
      </c>
      <c r="R165" s="9" t="s">
        <v>55</v>
      </c>
      <c r="S165" s="8" t="s">
        <v>32</v>
      </c>
      <c r="T165" s="9" t="s">
        <v>33</v>
      </c>
      <c r="U165" s="8" t="s">
        <v>34</v>
      </c>
      <c r="V165" s="8" t="s">
        <v>604</v>
      </c>
    </row>
    <row r="166" spans="1:22" ht="15" customHeight="1">
      <c r="A166" s="8" t="s">
        <v>605</v>
      </c>
      <c r="B166" s="9" t="s">
        <v>73</v>
      </c>
      <c r="C166" s="9" t="s">
        <v>74</v>
      </c>
      <c r="D166" s="9" t="s">
        <v>85</v>
      </c>
      <c r="E166" s="9"/>
      <c r="F166" s="9" t="s">
        <v>76</v>
      </c>
      <c r="G166" s="9" t="s">
        <v>26</v>
      </c>
      <c r="H166" s="8">
        <v>6</v>
      </c>
      <c r="I166" s="8">
        <v>6</v>
      </c>
      <c r="J166" s="8" t="s">
        <v>563</v>
      </c>
      <c r="K166" s="8" t="s">
        <v>592</v>
      </c>
      <c r="L166" s="8">
        <v>12</v>
      </c>
      <c r="M166" s="8">
        <v>2025</v>
      </c>
      <c r="N166" s="8"/>
      <c r="O166" s="9" t="s">
        <v>85</v>
      </c>
      <c r="P166" s="8"/>
      <c r="Q166" s="9" t="s">
        <v>593</v>
      </c>
      <c r="R166" s="9" t="s">
        <v>55</v>
      </c>
      <c r="S166" s="8" t="s">
        <v>32</v>
      </c>
      <c r="T166" s="9" t="s">
        <v>33</v>
      </c>
      <c r="U166" s="8" t="s">
        <v>34</v>
      </c>
      <c r="V166" s="8" t="s">
        <v>606</v>
      </c>
    </row>
    <row r="167" spans="1:22" ht="15" customHeight="1">
      <c r="A167" s="8" t="s">
        <v>609</v>
      </c>
      <c r="B167" s="9" t="s">
        <v>73</v>
      </c>
      <c r="C167" s="9" t="s">
        <v>142</v>
      </c>
      <c r="D167" s="9" t="s">
        <v>152</v>
      </c>
      <c r="E167" s="9"/>
      <c r="F167" s="9" t="s">
        <v>144</v>
      </c>
      <c r="G167" s="8" t="s">
        <v>153</v>
      </c>
      <c r="H167" s="8">
        <v>5</v>
      </c>
      <c r="I167" s="8">
        <v>5</v>
      </c>
      <c r="J167" s="8" t="s">
        <v>563</v>
      </c>
      <c r="K167" s="8" t="s">
        <v>607</v>
      </c>
      <c r="L167" s="8">
        <v>12</v>
      </c>
      <c r="M167" s="8">
        <v>2025</v>
      </c>
      <c r="N167" s="8"/>
      <c r="O167" s="9" t="s">
        <v>152</v>
      </c>
      <c r="P167" s="8"/>
      <c r="Q167" s="9" t="s">
        <v>608</v>
      </c>
      <c r="R167" s="9" t="s">
        <v>31</v>
      </c>
      <c r="S167" s="8" t="s">
        <v>32</v>
      </c>
      <c r="T167" s="9" t="s">
        <v>33</v>
      </c>
      <c r="U167" s="8" t="s">
        <v>34</v>
      </c>
      <c r="V167" s="8" t="s">
        <v>606</v>
      </c>
    </row>
    <row r="168" spans="1:22" ht="15" customHeight="1">
      <c r="A168" s="8" t="s">
        <v>610</v>
      </c>
      <c r="B168" s="9" t="s">
        <v>73</v>
      </c>
      <c r="C168" s="9" t="s">
        <v>142</v>
      </c>
      <c r="D168" s="9" t="s">
        <v>155</v>
      </c>
      <c r="E168" s="9"/>
      <c r="F168" s="9" t="s">
        <v>144</v>
      </c>
      <c r="G168" s="8" t="s">
        <v>153</v>
      </c>
      <c r="H168" s="8">
        <v>3</v>
      </c>
      <c r="I168" s="8">
        <v>3</v>
      </c>
      <c r="J168" s="8" t="s">
        <v>563</v>
      </c>
      <c r="K168" s="8" t="s">
        <v>607</v>
      </c>
      <c r="L168" s="8">
        <v>12</v>
      </c>
      <c r="M168" s="8">
        <v>2025</v>
      </c>
      <c r="N168" s="8"/>
      <c r="O168" s="9" t="s">
        <v>155</v>
      </c>
      <c r="P168" s="8"/>
      <c r="Q168" s="9" t="s">
        <v>608</v>
      </c>
      <c r="R168" s="9" t="s">
        <v>31</v>
      </c>
      <c r="S168" s="8" t="s">
        <v>32</v>
      </c>
      <c r="T168" s="9" t="s">
        <v>33</v>
      </c>
      <c r="U168" s="8" t="s">
        <v>34</v>
      </c>
      <c r="V168" s="8" t="s">
        <v>606</v>
      </c>
    </row>
    <row r="169" spans="1:22" ht="15" customHeight="1">
      <c r="A169" s="8" t="s">
        <v>611</v>
      </c>
      <c r="B169" s="9" t="s">
        <v>73</v>
      </c>
      <c r="C169" s="9" t="s">
        <v>142</v>
      </c>
      <c r="D169" s="9" t="s">
        <v>157</v>
      </c>
      <c r="E169" s="9"/>
      <c r="F169" s="9" t="s">
        <v>144</v>
      </c>
      <c r="G169" s="8" t="s">
        <v>44</v>
      </c>
      <c r="H169" s="8">
        <v>10</v>
      </c>
      <c r="I169" s="8">
        <v>10</v>
      </c>
      <c r="J169" s="8" t="s">
        <v>563</v>
      </c>
      <c r="K169" s="8" t="s">
        <v>607</v>
      </c>
      <c r="L169" s="8">
        <v>12</v>
      </c>
      <c r="M169" s="8">
        <v>2025</v>
      </c>
      <c r="N169" s="8"/>
      <c r="O169" s="9" t="s">
        <v>157</v>
      </c>
      <c r="P169" s="8"/>
      <c r="Q169" s="9" t="s">
        <v>608</v>
      </c>
      <c r="R169" s="9" t="s">
        <v>31</v>
      </c>
      <c r="S169" s="8" t="s">
        <v>32</v>
      </c>
      <c r="T169" s="9" t="s">
        <v>33</v>
      </c>
      <c r="U169" s="8" t="s">
        <v>34</v>
      </c>
      <c r="V169" s="8" t="s">
        <v>606</v>
      </c>
    </row>
    <row r="170" spans="1:22" ht="15" customHeight="1">
      <c r="A170" s="8" t="s">
        <v>612</v>
      </c>
      <c r="B170" s="9" t="s">
        <v>73</v>
      </c>
      <c r="C170" s="9" t="s">
        <v>142</v>
      </c>
      <c r="D170" s="9" t="s">
        <v>159</v>
      </c>
      <c r="E170" s="9"/>
      <c r="F170" s="9" t="s">
        <v>613</v>
      </c>
      <c r="G170" s="8" t="s">
        <v>44</v>
      </c>
      <c r="H170" s="8">
        <v>3</v>
      </c>
      <c r="I170" s="8">
        <v>5</v>
      </c>
      <c r="J170" s="8" t="s">
        <v>563</v>
      </c>
      <c r="K170" s="8" t="s">
        <v>607</v>
      </c>
      <c r="L170" s="8">
        <v>12</v>
      </c>
      <c r="M170" s="8">
        <v>2025</v>
      </c>
      <c r="N170" s="8"/>
      <c r="O170" s="9" t="s">
        <v>159</v>
      </c>
      <c r="P170" s="9" t="s">
        <v>614</v>
      </c>
      <c r="Q170" s="9" t="s">
        <v>608</v>
      </c>
      <c r="R170" s="9" t="s">
        <v>31</v>
      </c>
      <c r="S170" s="8" t="s">
        <v>32</v>
      </c>
      <c r="T170" s="9" t="s">
        <v>33</v>
      </c>
      <c r="U170" s="8" t="s">
        <v>34</v>
      </c>
      <c r="V170" s="8" t="s">
        <v>615</v>
      </c>
    </row>
    <row r="171" spans="1:22" ht="15" customHeight="1">
      <c r="A171" s="8" t="s">
        <v>616</v>
      </c>
      <c r="B171" s="9" t="s">
        <v>73</v>
      </c>
      <c r="C171" s="9" t="s">
        <v>142</v>
      </c>
      <c r="D171" s="9" t="s">
        <v>163</v>
      </c>
      <c r="E171" s="9"/>
      <c r="F171" s="9" t="s">
        <v>617</v>
      </c>
      <c r="G171" s="8" t="s">
        <v>44</v>
      </c>
      <c r="H171" s="8">
        <v>7</v>
      </c>
      <c r="I171" s="8">
        <v>7</v>
      </c>
      <c r="J171" s="8" t="s">
        <v>563</v>
      </c>
      <c r="K171" s="8" t="s">
        <v>607</v>
      </c>
      <c r="L171" s="8">
        <v>12</v>
      </c>
      <c r="M171" s="8">
        <v>2025</v>
      </c>
      <c r="N171" s="8"/>
      <c r="O171" s="9" t="s">
        <v>163</v>
      </c>
      <c r="P171" s="9" t="s">
        <v>618</v>
      </c>
      <c r="Q171" s="9" t="s">
        <v>608</v>
      </c>
      <c r="R171" s="9" t="s">
        <v>31</v>
      </c>
      <c r="S171" s="8" t="s">
        <v>32</v>
      </c>
      <c r="T171" s="9" t="s">
        <v>33</v>
      </c>
      <c r="U171" s="8" t="s">
        <v>34</v>
      </c>
      <c r="V171" s="8" t="s">
        <v>606</v>
      </c>
    </row>
    <row r="172" spans="1:22" ht="15" customHeight="1">
      <c r="A172" s="8" t="s">
        <v>619</v>
      </c>
      <c r="B172" s="9" t="s">
        <v>73</v>
      </c>
      <c r="C172" s="9" t="s">
        <v>142</v>
      </c>
      <c r="D172" s="9" t="s">
        <v>165</v>
      </c>
      <c r="E172" s="9"/>
      <c r="F172" s="9" t="s">
        <v>620</v>
      </c>
      <c r="G172" s="8" t="s">
        <v>44</v>
      </c>
      <c r="H172" s="8">
        <v>5</v>
      </c>
      <c r="I172" s="8">
        <v>5</v>
      </c>
      <c r="J172" s="8" t="s">
        <v>563</v>
      </c>
      <c r="K172" s="8" t="s">
        <v>607</v>
      </c>
      <c r="L172" s="8">
        <v>12</v>
      </c>
      <c r="M172" s="8">
        <v>2025</v>
      </c>
      <c r="N172" s="8"/>
      <c r="O172" s="9" t="s">
        <v>165</v>
      </c>
      <c r="P172" s="9" t="s">
        <v>618</v>
      </c>
      <c r="Q172" s="9" t="s">
        <v>608</v>
      </c>
      <c r="R172" s="9" t="s">
        <v>31</v>
      </c>
      <c r="S172" s="8" t="s">
        <v>32</v>
      </c>
      <c r="T172" s="9" t="s">
        <v>33</v>
      </c>
      <c r="U172" s="8" t="s">
        <v>34</v>
      </c>
      <c r="V172" s="8" t="s">
        <v>606</v>
      </c>
    </row>
    <row r="173" spans="1:22" ht="15" customHeight="1">
      <c r="A173" s="8" t="s">
        <v>621</v>
      </c>
      <c r="B173" s="9" t="s">
        <v>73</v>
      </c>
      <c r="C173" s="9" t="s">
        <v>142</v>
      </c>
      <c r="D173" s="9" t="s">
        <v>167</v>
      </c>
      <c r="E173" s="9"/>
      <c r="F173" s="9" t="s">
        <v>144</v>
      </c>
      <c r="G173" s="8" t="s">
        <v>44</v>
      </c>
      <c r="H173" s="8">
        <v>5</v>
      </c>
      <c r="I173" s="8">
        <v>5</v>
      </c>
      <c r="J173" s="8" t="s">
        <v>563</v>
      </c>
      <c r="K173" s="8" t="s">
        <v>607</v>
      </c>
      <c r="L173" s="8">
        <v>12</v>
      </c>
      <c r="M173" s="8">
        <v>2025</v>
      </c>
      <c r="N173" s="8"/>
      <c r="O173" s="9" t="s">
        <v>167</v>
      </c>
      <c r="P173" s="8"/>
      <c r="Q173" s="9" t="s">
        <v>608</v>
      </c>
      <c r="R173" s="9" t="s">
        <v>31</v>
      </c>
      <c r="S173" s="8" t="s">
        <v>32</v>
      </c>
      <c r="T173" s="9" t="s">
        <v>33</v>
      </c>
      <c r="U173" s="8" t="s">
        <v>34</v>
      </c>
      <c r="V173" s="8" t="s">
        <v>606</v>
      </c>
    </row>
    <row r="174" spans="1:22" ht="15" customHeight="1">
      <c r="A174" s="8" t="s">
        <v>622</v>
      </c>
      <c r="B174" s="9" t="s">
        <v>73</v>
      </c>
      <c r="C174" s="9" t="s">
        <v>142</v>
      </c>
      <c r="D174" s="9" t="s">
        <v>169</v>
      </c>
      <c r="E174" s="9"/>
      <c r="F174" s="9" t="s">
        <v>144</v>
      </c>
      <c r="G174" s="8" t="s">
        <v>44</v>
      </c>
      <c r="H174" s="8">
        <v>5</v>
      </c>
      <c r="I174" s="8">
        <v>5</v>
      </c>
      <c r="J174" s="8" t="s">
        <v>563</v>
      </c>
      <c r="K174" s="8" t="s">
        <v>607</v>
      </c>
      <c r="L174" s="8">
        <v>12</v>
      </c>
      <c r="M174" s="8">
        <v>2025</v>
      </c>
      <c r="N174" s="8"/>
      <c r="O174" s="9" t="s">
        <v>169</v>
      </c>
      <c r="P174" s="8"/>
      <c r="Q174" s="9" t="s">
        <v>608</v>
      </c>
      <c r="R174" s="9" t="s">
        <v>31</v>
      </c>
      <c r="S174" s="8" t="s">
        <v>32</v>
      </c>
      <c r="T174" s="9" t="s">
        <v>33</v>
      </c>
      <c r="U174" s="8" t="s">
        <v>34</v>
      </c>
      <c r="V174" s="8" t="s">
        <v>606</v>
      </c>
    </row>
    <row r="175" spans="1:22" ht="15" customHeight="1">
      <c r="A175" s="8" t="s">
        <v>623</v>
      </c>
      <c r="B175" s="9" t="s">
        <v>73</v>
      </c>
      <c r="C175" s="9" t="s">
        <v>142</v>
      </c>
      <c r="D175" s="9" t="s">
        <v>171</v>
      </c>
      <c r="E175" s="9"/>
      <c r="F175" s="9" t="s">
        <v>144</v>
      </c>
      <c r="G175" s="8" t="s">
        <v>44</v>
      </c>
      <c r="H175" s="8">
        <v>5</v>
      </c>
      <c r="I175" s="8">
        <v>5</v>
      </c>
      <c r="J175" s="8" t="s">
        <v>563</v>
      </c>
      <c r="K175" s="8" t="s">
        <v>607</v>
      </c>
      <c r="L175" s="8">
        <v>12</v>
      </c>
      <c r="M175" s="8">
        <v>2025</v>
      </c>
      <c r="N175" s="8"/>
      <c r="O175" s="9" t="s">
        <v>171</v>
      </c>
      <c r="P175" s="8"/>
      <c r="Q175" s="9" t="s">
        <v>608</v>
      </c>
      <c r="R175" s="9" t="s">
        <v>31</v>
      </c>
      <c r="S175" s="8" t="s">
        <v>32</v>
      </c>
      <c r="T175" s="9" t="s">
        <v>33</v>
      </c>
      <c r="U175" s="8" t="s">
        <v>34</v>
      </c>
      <c r="V175" s="8" t="s">
        <v>606</v>
      </c>
    </row>
    <row r="176" spans="1:22" ht="15" customHeight="1">
      <c r="A176" s="8" t="s">
        <v>624</v>
      </c>
      <c r="B176" s="9" t="s">
        <v>73</v>
      </c>
      <c r="C176" s="9" t="s">
        <v>142</v>
      </c>
      <c r="D176" s="9" t="s">
        <v>173</v>
      </c>
      <c r="E176" s="9"/>
      <c r="F176" s="9" t="s">
        <v>144</v>
      </c>
      <c r="G176" s="8" t="s">
        <v>44</v>
      </c>
      <c r="H176" s="8">
        <v>5</v>
      </c>
      <c r="I176" s="8">
        <v>5</v>
      </c>
      <c r="J176" s="8" t="s">
        <v>563</v>
      </c>
      <c r="K176" s="8" t="s">
        <v>607</v>
      </c>
      <c r="L176" s="8">
        <v>12</v>
      </c>
      <c r="M176" s="8">
        <v>2025</v>
      </c>
      <c r="N176" s="8"/>
      <c r="O176" s="9" t="s">
        <v>173</v>
      </c>
      <c r="P176" s="8"/>
      <c r="Q176" s="9" t="s">
        <v>608</v>
      </c>
      <c r="R176" s="9" t="s">
        <v>31</v>
      </c>
      <c r="S176" s="8" t="s">
        <v>32</v>
      </c>
      <c r="T176" s="9" t="s">
        <v>33</v>
      </c>
      <c r="U176" s="8" t="s">
        <v>34</v>
      </c>
      <c r="V176" s="8" t="s">
        <v>606</v>
      </c>
    </row>
    <row r="177" spans="1:22" ht="15" customHeight="1">
      <c r="A177" s="8" t="s">
        <v>625</v>
      </c>
      <c r="B177" s="9" t="s">
        <v>73</v>
      </c>
      <c r="C177" s="9" t="s">
        <v>142</v>
      </c>
      <c r="D177" s="9" t="s">
        <v>175</v>
      </c>
      <c r="E177" s="9"/>
      <c r="F177" s="9" t="s">
        <v>144</v>
      </c>
      <c r="G177" s="8" t="s">
        <v>44</v>
      </c>
      <c r="H177" s="8">
        <v>5</v>
      </c>
      <c r="I177" s="8">
        <v>5</v>
      </c>
      <c r="J177" s="8" t="s">
        <v>563</v>
      </c>
      <c r="K177" s="8" t="s">
        <v>607</v>
      </c>
      <c r="L177" s="8">
        <v>12</v>
      </c>
      <c r="M177" s="8">
        <v>2025</v>
      </c>
      <c r="N177" s="8"/>
      <c r="O177" s="9" t="s">
        <v>175</v>
      </c>
      <c r="P177" s="8"/>
      <c r="Q177" s="9" t="s">
        <v>608</v>
      </c>
      <c r="R177" s="9" t="s">
        <v>31</v>
      </c>
      <c r="S177" s="8" t="s">
        <v>32</v>
      </c>
      <c r="T177" s="9" t="s">
        <v>33</v>
      </c>
      <c r="U177" s="8" t="s">
        <v>34</v>
      </c>
      <c r="V177" s="8" t="s">
        <v>606</v>
      </c>
    </row>
    <row r="178" spans="1:22" ht="15" customHeight="1">
      <c r="A178" s="8" t="s">
        <v>626</v>
      </c>
      <c r="B178" s="9" t="s">
        <v>73</v>
      </c>
      <c r="C178" s="9" t="s">
        <v>142</v>
      </c>
      <c r="D178" s="9" t="s">
        <v>177</v>
      </c>
      <c r="E178" s="9"/>
      <c r="F178" s="9" t="s">
        <v>144</v>
      </c>
      <c r="G178" s="8" t="s">
        <v>44</v>
      </c>
      <c r="H178" s="8">
        <v>10</v>
      </c>
      <c r="I178" s="8">
        <v>10</v>
      </c>
      <c r="J178" s="8" t="s">
        <v>563</v>
      </c>
      <c r="K178" s="8" t="s">
        <v>607</v>
      </c>
      <c r="L178" s="8">
        <v>12</v>
      </c>
      <c r="M178" s="8">
        <v>2025</v>
      </c>
      <c r="N178" s="8"/>
      <c r="O178" s="9" t="s">
        <v>177</v>
      </c>
      <c r="P178" s="8"/>
      <c r="Q178" s="9" t="s">
        <v>608</v>
      </c>
      <c r="R178" s="9" t="s">
        <v>31</v>
      </c>
      <c r="S178" s="8" t="s">
        <v>32</v>
      </c>
      <c r="T178" s="9" t="s">
        <v>33</v>
      </c>
      <c r="U178" s="8" t="s">
        <v>34</v>
      </c>
      <c r="V178" s="8" t="s">
        <v>606</v>
      </c>
    </row>
    <row r="179" spans="1:22" ht="15" customHeight="1">
      <c r="A179" s="8" t="s">
        <v>627</v>
      </c>
      <c r="B179" s="9" t="s">
        <v>73</v>
      </c>
      <c r="C179" s="9" t="s">
        <v>142</v>
      </c>
      <c r="D179" s="9" t="s">
        <v>179</v>
      </c>
      <c r="E179" s="9"/>
      <c r="F179" s="9" t="s">
        <v>613</v>
      </c>
      <c r="G179" s="8" t="s">
        <v>44</v>
      </c>
      <c r="H179" s="8">
        <v>5</v>
      </c>
      <c r="I179" s="8">
        <v>5</v>
      </c>
      <c r="J179" s="8" t="s">
        <v>563</v>
      </c>
      <c r="K179" s="8" t="s">
        <v>607</v>
      </c>
      <c r="L179" s="8">
        <v>12</v>
      </c>
      <c r="M179" s="8">
        <v>2025</v>
      </c>
      <c r="N179" s="8"/>
      <c r="O179" s="9" t="s">
        <v>179</v>
      </c>
      <c r="P179" s="9" t="s">
        <v>614</v>
      </c>
      <c r="Q179" s="9" t="s">
        <v>608</v>
      </c>
      <c r="R179" s="9" t="s">
        <v>31</v>
      </c>
      <c r="S179" s="8" t="s">
        <v>32</v>
      </c>
      <c r="T179" s="9" t="s">
        <v>33</v>
      </c>
      <c r="U179" s="8" t="s">
        <v>34</v>
      </c>
      <c r="V179" s="8" t="s">
        <v>606</v>
      </c>
    </row>
    <row r="180" spans="1:22" ht="15" customHeight="1">
      <c r="A180" s="8" t="s">
        <v>628</v>
      </c>
      <c r="B180" s="9" t="s">
        <v>73</v>
      </c>
      <c r="C180" s="9" t="s">
        <v>142</v>
      </c>
      <c r="D180" s="9" t="s">
        <v>181</v>
      </c>
      <c r="E180" s="9"/>
      <c r="F180" s="9" t="s">
        <v>144</v>
      </c>
      <c r="G180" s="8" t="s">
        <v>44</v>
      </c>
      <c r="H180" s="8">
        <v>10</v>
      </c>
      <c r="I180" s="8">
        <v>10</v>
      </c>
      <c r="J180" s="8" t="s">
        <v>563</v>
      </c>
      <c r="K180" s="8" t="s">
        <v>607</v>
      </c>
      <c r="L180" s="8">
        <v>12</v>
      </c>
      <c r="M180" s="8">
        <v>2025</v>
      </c>
      <c r="N180" s="8"/>
      <c r="O180" s="9" t="s">
        <v>181</v>
      </c>
      <c r="P180" s="8"/>
      <c r="Q180" s="9" t="s">
        <v>608</v>
      </c>
      <c r="R180" s="9" t="s">
        <v>31</v>
      </c>
      <c r="S180" s="8" t="s">
        <v>32</v>
      </c>
      <c r="T180" s="9" t="s">
        <v>33</v>
      </c>
      <c r="U180" s="8" t="s">
        <v>34</v>
      </c>
      <c r="V180" s="8" t="s">
        <v>606</v>
      </c>
    </row>
    <row r="181" spans="1:22" ht="15" customHeight="1">
      <c r="A181" s="8" t="s">
        <v>629</v>
      </c>
      <c r="B181" s="9" t="s">
        <v>73</v>
      </c>
      <c r="C181" s="9" t="s">
        <v>142</v>
      </c>
      <c r="D181" s="9" t="s">
        <v>183</v>
      </c>
      <c r="E181" s="9"/>
      <c r="F181" s="9" t="s">
        <v>144</v>
      </c>
      <c r="G181" s="8" t="s">
        <v>44</v>
      </c>
      <c r="H181" s="8">
        <v>5</v>
      </c>
      <c r="I181" s="8">
        <v>5</v>
      </c>
      <c r="J181" s="8" t="s">
        <v>563</v>
      </c>
      <c r="K181" s="8" t="s">
        <v>607</v>
      </c>
      <c r="L181" s="8">
        <v>12</v>
      </c>
      <c r="M181" s="8">
        <v>2025</v>
      </c>
      <c r="N181" s="8"/>
      <c r="O181" s="9" t="s">
        <v>183</v>
      </c>
      <c r="P181" s="8"/>
      <c r="Q181" s="9" t="s">
        <v>608</v>
      </c>
      <c r="R181" s="9" t="s">
        <v>31</v>
      </c>
      <c r="S181" s="8" t="s">
        <v>32</v>
      </c>
      <c r="T181" s="9" t="s">
        <v>33</v>
      </c>
      <c r="U181" s="8" t="s">
        <v>34</v>
      </c>
      <c r="V181" s="8" t="s">
        <v>606</v>
      </c>
    </row>
    <row r="182" spans="1:22" ht="15" customHeight="1">
      <c r="A182" s="8" t="s">
        <v>630</v>
      </c>
      <c r="B182" s="9" t="s">
        <v>73</v>
      </c>
      <c r="C182" s="9" t="s">
        <v>87</v>
      </c>
      <c r="D182" s="9" t="s">
        <v>75</v>
      </c>
      <c r="E182" s="9"/>
      <c r="F182" s="9" t="s">
        <v>88</v>
      </c>
      <c r="G182" s="9" t="s">
        <v>26</v>
      </c>
      <c r="H182" s="8">
        <v>4</v>
      </c>
      <c r="I182" s="8">
        <v>4</v>
      </c>
      <c r="J182" s="8" t="s">
        <v>965</v>
      </c>
      <c r="K182" s="8" t="s">
        <v>631</v>
      </c>
      <c r="L182" s="8">
        <v>13</v>
      </c>
      <c r="M182" s="8">
        <v>2025</v>
      </c>
      <c r="N182" s="8"/>
      <c r="O182" s="9" t="s">
        <v>75</v>
      </c>
      <c r="P182" s="8"/>
      <c r="Q182" s="9" t="s">
        <v>632</v>
      </c>
      <c r="R182" s="9" t="s">
        <v>31</v>
      </c>
      <c r="S182" s="8" t="s">
        <v>32</v>
      </c>
      <c r="T182" s="9" t="s">
        <v>33</v>
      </c>
      <c r="U182" s="8" t="s">
        <v>34</v>
      </c>
      <c r="V182" s="8" t="s">
        <v>606</v>
      </c>
    </row>
    <row r="183" spans="1:22" ht="15" customHeight="1">
      <c r="A183" s="8" t="s">
        <v>633</v>
      </c>
      <c r="B183" s="9" t="s">
        <v>73</v>
      </c>
      <c r="C183" s="9" t="s">
        <v>23</v>
      </c>
      <c r="D183" s="9" t="s">
        <v>634</v>
      </c>
      <c r="E183" s="9"/>
      <c r="F183" s="9" t="s">
        <v>635</v>
      </c>
      <c r="G183" s="9" t="s">
        <v>210</v>
      </c>
      <c r="H183" s="8">
        <v>9</v>
      </c>
      <c r="I183" s="8">
        <v>9</v>
      </c>
      <c r="J183" s="8" t="s">
        <v>563</v>
      </c>
      <c r="K183" s="8" t="s">
        <v>636</v>
      </c>
      <c r="L183" s="8">
        <v>13</v>
      </c>
      <c r="M183" s="8">
        <v>2025</v>
      </c>
      <c r="N183" s="8"/>
      <c r="O183" s="9" t="s">
        <v>637</v>
      </c>
      <c r="P183" s="8"/>
      <c r="Q183" s="9" t="s">
        <v>638</v>
      </c>
      <c r="R183" s="9" t="s">
        <v>31</v>
      </c>
      <c r="S183" s="8" t="s">
        <v>32</v>
      </c>
      <c r="T183" s="9" t="s">
        <v>33</v>
      </c>
      <c r="U183" s="8" t="s">
        <v>34</v>
      </c>
      <c r="V183" s="8" t="s">
        <v>639</v>
      </c>
    </row>
    <row r="184" spans="1:22" ht="15" customHeight="1">
      <c r="A184" s="8" t="s">
        <v>640</v>
      </c>
      <c r="B184" s="9" t="s">
        <v>73</v>
      </c>
      <c r="C184" s="9" t="s">
        <v>23</v>
      </c>
      <c r="D184" s="9" t="s">
        <v>634</v>
      </c>
      <c r="E184" s="9"/>
      <c r="F184" s="9" t="s">
        <v>641</v>
      </c>
      <c r="G184" s="9" t="s">
        <v>210</v>
      </c>
      <c r="H184" s="8">
        <v>3</v>
      </c>
      <c r="I184" s="8">
        <v>3</v>
      </c>
      <c r="J184" s="8" t="s">
        <v>563</v>
      </c>
      <c r="K184" s="8" t="s">
        <v>636</v>
      </c>
      <c r="L184" s="8">
        <v>13</v>
      </c>
      <c r="M184" s="8">
        <v>2025</v>
      </c>
      <c r="N184" s="8"/>
      <c r="O184" s="9" t="s">
        <v>642</v>
      </c>
      <c r="P184" s="8"/>
      <c r="Q184" s="9" t="s">
        <v>643</v>
      </c>
      <c r="R184" s="9" t="s">
        <v>31</v>
      </c>
      <c r="S184" s="8" t="s">
        <v>32</v>
      </c>
      <c r="T184" s="9" t="s">
        <v>33</v>
      </c>
      <c r="U184" s="8" t="s">
        <v>34</v>
      </c>
      <c r="V184" s="8" t="s">
        <v>644</v>
      </c>
    </row>
    <row r="185" spans="1:22" ht="15" customHeight="1">
      <c r="A185" s="8" t="s">
        <v>645</v>
      </c>
      <c r="B185" s="9" t="s">
        <v>73</v>
      </c>
      <c r="C185" s="9" t="s">
        <v>23</v>
      </c>
      <c r="D185" s="9" t="s">
        <v>191</v>
      </c>
      <c r="E185" s="9"/>
      <c r="F185" s="9" t="s">
        <v>192</v>
      </c>
      <c r="G185" s="9" t="s">
        <v>26</v>
      </c>
      <c r="H185" s="8">
        <v>3</v>
      </c>
      <c r="I185" s="8">
        <v>3</v>
      </c>
      <c r="J185" s="8" t="s">
        <v>563</v>
      </c>
      <c r="K185" s="8" t="s">
        <v>646</v>
      </c>
      <c r="L185" s="8">
        <v>13</v>
      </c>
      <c r="M185" s="8">
        <v>2025</v>
      </c>
      <c r="N185" s="8"/>
      <c r="O185" s="9" t="s">
        <v>647</v>
      </c>
      <c r="P185" s="8"/>
      <c r="Q185" s="8"/>
      <c r="R185" s="9" t="s">
        <v>55</v>
      </c>
      <c r="S185" s="8" t="s">
        <v>32</v>
      </c>
      <c r="T185" s="9" t="s">
        <v>33</v>
      </c>
      <c r="U185" s="8" t="s">
        <v>34</v>
      </c>
      <c r="V185" s="8" t="s">
        <v>606</v>
      </c>
    </row>
    <row r="186" spans="1:22" ht="15" customHeight="1">
      <c r="A186" s="8" t="s">
        <v>648</v>
      </c>
      <c r="B186" s="9" t="s">
        <v>73</v>
      </c>
      <c r="C186" s="9" t="s">
        <v>23</v>
      </c>
      <c r="D186" s="9" t="s">
        <v>191</v>
      </c>
      <c r="E186" s="9"/>
      <c r="F186" s="9" t="s">
        <v>194</v>
      </c>
      <c r="G186" s="9" t="s">
        <v>26</v>
      </c>
      <c r="H186" s="8">
        <v>10</v>
      </c>
      <c r="I186" s="8">
        <v>10</v>
      </c>
      <c r="J186" s="8" t="s">
        <v>563</v>
      </c>
      <c r="K186" s="8" t="s">
        <v>646</v>
      </c>
      <c r="L186" s="8">
        <v>13</v>
      </c>
      <c r="M186" s="8">
        <v>2025</v>
      </c>
      <c r="N186" s="8"/>
      <c r="O186" s="9" t="s">
        <v>649</v>
      </c>
      <c r="P186" s="8"/>
      <c r="Q186" s="8"/>
      <c r="R186" s="9" t="s">
        <v>31</v>
      </c>
      <c r="S186" s="8" t="s">
        <v>32</v>
      </c>
      <c r="T186" s="9" t="s">
        <v>33</v>
      </c>
      <c r="U186" s="8" t="s">
        <v>34</v>
      </c>
      <c r="V186" s="8" t="s">
        <v>606</v>
      </c>
    </row>
    <row r="187" spans="1:22" ht="15" customHeight="1">
      <c r="A187" s="8" t="s">
        <v>650</v>
      </c>
      <c r="B187" s="9" t="s">
        <v>73</v>
      </c>
      <c r="C187" s="9" t="s">
        <v>23</v>
      </c>
      <c r="D187" s="9" t="s">
        <v>191</v>
      </c>
      <c r="E187" s="9"/>
      <c r="F187" s="9" t="s">
        <v>651</v>
      </c>
      <c r="G187" s="9" t="s">
        <v>26</v>
      </c>
      <c r="H187" s="8">
        <v>10</v>
      </c>
      <c r="I187" s="8">
        <v>10</v>
      </c>
      <c r="J187" s="8" t="s">
        <v>563</v>
      </c>
      <c r="K187" s="8" t="s">
        <v>646</v>
      </c>
      <c r="L187" s="8">
        <v>13</v>
      </c>
      <c r="M187" s="8">
        <v>2025</v>
      </c>
      <c r="N187" s="8"/>
      <c r="O187" s="9" t="s">
        <v>652</v>
      </c>
      <c r="P187" s="8"/>
      <c r="Q187" s="8"/>
      <c r="R187" s="9" t="s">
        <v>31</v>
      </c>
      <c r="S187" s="8" t="s">
        <v>32</v>
      </c>
      <c r="T187" s="9" t="s">
        <v>33</v>
      </c>
      <c r="U187" s="8" t="s">
        <v>34</v>
      </c>
      <c r="V187" s="8" t="s">
        <v>604</v>
      </c>
    </row>
    <row r="188" spans="1:22" ht="15" customHeight="1">
      <c r="A188" s="8" t="s">
        <v>653</v>
      </c>
      <c r="B188" s="9" t="s">
        <v>73</v>
      </c>
      <c r="C188" s="9" t="s">
        <v>23</v>
      </c>
      <c r="D188" s="9" t="s">
        <v>191</v>
      </c>
      <c r="E188" s="9"/>
      <c r="F188" s="9" t="s">
        <v>654</v>
      </c>
      <c r="G188" s="9" t="s">
        <v>26</v>
      </c>
      <c r="H188" s="8">
        <v>15</v>
      </c>
      <c r="I188" s="8">
        <v>15</v>
      </c>
      <c r="J188" s="8" t="s">
        <v>563</v>
      </c>
      <c r="K188" s="8" t="s">
        <v>646</v>
      </c>
      <c r="L188" s="8">
        <v>13</v>
      </c>
      <c r="M188" s="8">
        <v>2025</v>
      </c>
      <c r="N188" s="8"/>
      <c r="O188" s="9" t="s">
        <v>655</v>
      </c>
      <c r="P188" s="8"/>
      <c r="Q188" s="8"/>
      <c r="R188" s="9" t="s">
        <v>31</v>
      </c>
      <c r="S188" s="8" t="s">
        <v>32</v>
      </c>
      <c r="T188" s="9" t="s">
        <v>33</v>
      </c>
      <c r="U188" s="8" t="s">
        <v>34</v>
      </c>
      <c r="V188" s="8" t="s">
        <v>604</v>
      </c>
    </row>
    <row r="189" spans="1:22" ht="15" customHeight="1">
      <c r="A189" s="8" t="s">
        <v>656</v>
      </c>
      <c r="B189" s="9" t="s">
        <v>73</v>
      </c>
      <c r="C189" s="9" t="s">
        <v>23</v>
      </c>
      <c r="D189" s="9" t="s">
        <v>196</v>
      </c>
      <c r="E189" s="9"/>
      <c r="F189" s="9" t="s">
        <v>197</v>
      </c>
      <c r="G189" s="9" t="s">
        <v>198</v>
      </c>
      <c r="H189" s="8">
        <v>3</v>
      </c>
      <c r="I189" s="8">
        <v>3</v>
      </c>
      <c r="J189" s="8" t="s">
        <v>563</v>
      </c>
      <c r="K189" s="8" t="s">
        <v>646</v>
      </c>
      <c r="L189" s="8">
        <v>13</v>
      </c>
      <c r="M189" s="8">
        <v>2025</v>
      </c>
      <c r="N189" s="8"/>
      <c r="O189" s="9" t="s">
        <v>657</v>
      </c>
      <c r="P189" s="8"/>
      <c r="Q189" s="8"/>
      <c r="R189" s="9" t="s">
        <v>55</v>
      </c>
      <c r="S189" s="8" t="s">
        <v>32</v>
      </c>
      <c r="T189" s="9" t="s">
        <v>33</v>
      </c>
      <c r="U189" s="8" t="s">
        <v>34</v>
      </c>
      <c r="V189" s="8" t="s">
        <v>606</v>
      </c>
    </row>
    <row r="190" spans="1:22" ht="15" customHeight="1">
      <c r="A190" s="8" t="s">
        <v>658</v>
      </c>
      <c r="B190" s="9" t="s">
        <v>73</v>
      </c>
      <c r="C190" s="9" t="s">
        <v>23</v>
      </c>
      <c r="D190" s="9" t="s">
        <v>196</v>
      </c>
      <c r="E190" s="9"/>
      <c r="F190" s="9" t="s">
        <v>200</v>
      </c>
      <c r="G190" s="9" t="s">
        <v>198</v>
      </c>
      <c r="H190" s="8">
        <v>5</v>
      </c>
      <c r="I190" s="8">
        <v>5</v>
      </c>
      <c r="J190" s="8" t="s">
        <v>563</v>
      </c>
      <c r="K190" s="8" t="s">
        <v>646</v>
      </c>
      <c r="L190" s="8">
        <v>13</v>
      </c>
      <c r="M190" s="8">
        <v>2025</v>
      </c>
      <c r="N190" s="8"/>
      <c r="O190" s="9" t="s">
        <v>659</v>
      </c>
      <c r="P190" s="8"/>
      <c r="Q190" s="8"/>
      <c r="R190" s="9" t="s">
        <v>55</v>
      </c>
      <c r="S190" s="8" t="s">
        <v>32</v>
      </c>
      <c r="T190" s="9" t="s">
        <v>33</v>
      </c>
      <c r="U190" s="8" t="s">
        <v>34</v>
      </c>
      <c r="V190" s="8" t="s">
        <v>606</v>
      </c>
    </row>
    <row r="191" spans="1:22" ht="15" customHeight="1">
      <c r="A191" s="8" t="s">
        <v>660</v>
      </c>
      <c r="B191" s="9" t="s">
        <v>73</v>
      </c>
      <c r="C191" s="9" t="s">
        <v>23</v>
      </c>
      <c r="D191" s="9" t="s">
        <v>202</v>
      </c>
      <c r="E191" s="9"/>
      <c r="F191" s="9"/>
      <c r="G191" s="8" t="s">
        <v>203</v>
      </c>
      <c r="H191" s="8">
        <v>8</v>
      </c>
      <c r="I191" s="8">
        <v>8</v>
      </c>
      <c r="J191" s="8" t="s">
        <v>563</v>
      </c>
      <c r="K191" s="8" t="s">
        <v>646</v>
      </c>
      <c r="L191" s="8">
        <v>13</v>
      </c>
      <c r="M191" s="8">
        <v>2025</v>
      </c>
      <c r="N191" s="8"/>
      <c r="O191" s="9" t="s">
        <v>202</v>
      </c>
      <c r="P191" s="8"/>
      <c r="Q191" s="8"/>
      <c r="R191" s="9" t="s">
        <v>55</v>
      </c>
      <c r="S191" s="8" t="s">
        <v>32</v>
      </c>
      <c r="T191" s="9" t="s">
        <v>33</v>
      </c>
      <c r="U191" s="8" t="s">
        <v>34</v>
      </c>
      <c r="V191" s="8" t="s">
        <v>606</v>
      </c>
    </row>
    <row r="192" spans="1:22" ht="15" customHeight="1">
      <c r="A192" s="8" t="s">
        <v>661</v>
      </c>
      <c r="B192" s="9" t="s">
        <v>73</v>
      </c>
      <c r="C192" s="9" t="s">
        <v>23</v>
      </c>
      <c r="D192" s="9" t="s">
        <v>219</v>
      </c>
      <c r="E192" s="9"/>
      <c r="F192" s="9"/>
      <c r="G192" s="8" t="s">
        <v>50</v>
      </c>
      <c r="H192" s="8">
        <v>2</v>
      </c>
      <c r="I192" s="8">
        <v>2</v>
      </c>
      <c r="J192" s="8" t="s">
        <v>563</v>
      </c>
      <c r="K192" s="8" t="s">
        <v>646</v>
      </c>
      <c r="L192" s="8">
        <v>13</v>
      </c>
      <c r="M192" s="8">
        <v>2025</v>
      </c>
      <c r="N192" s="8"/>
      <c r="O192" s="9" t="s">
        <v>219</v>
      </c>
      <c r="P192" s="8"/>
      <c r="Q192" s="8"/>
      <c r="R192" s="9" t="s">
        <v>55</v>
      </c>
      <c r="S192" s="8" t="s">
        <v>32</v>
      </c>
      <c r="T192" s="9" t="s">
        <v>33</v>
      </c>
      <c r="U192" s="8" t="s">
        <v>34</v>
      </c>
      <c r="V192" s="8" t="s">
        <v>606</v>
      </c>
    </row>
    <row r="193" spans="1:22" ht="15" customHeight="1">
      <c r="A193" s="8" t="s">
        <v>662</v>
      </c>
      <c r="B193" s="9" t="s">
        <v>73</v>
      </c>
      <c r="C193" s="9" t="s">
        <v>23</v>
      </c>
      <c r="D193" s="9" t="s">
        <v>222</v>
      </c>
      <c r="E193" s="9"/>
      <c r="F193" s="9" t="s">
        <v>663</v>
      </c>
      <c r="G193" s="9" t="s">
        <v>224</v>
      </c>
      <c r="H193" s="8">
        <v>5</v>
      </c>
      <c r="I193" s="8">
        <v>5</v>
      </c>
      <c r="J193" s="8" t="s">
        <v>563</v>
      </c>
      <c r="K193" s="8" t="s">
        <v>646</v>
      </c>
      <c r="L193" s="8">
        <v>13</v>
      </c>
      <c r="M193" s="8">
        <v>2025</v>
      </c>
      <c r="N193" s="8"/>
      <c r="O193" s="9" t="s">
        <v>664</v>
      </c>
      <c r="P193" s="8"/>
      <c r="Q193" s="8"/>
      <c r="R193" s="9" t="s">
        <v>55</v>
      </c>
      <c r="S193" s="8" t="s">
        <v>32</v>
      </c>
      <c r="T193" s="9" t="s">
        <v>33</v>
      </c>
      <c r="U193" s="8" t="s">
        <v>34</v>
      </c>
      <c r="V193" s="8" t="s">
        <v>606</v>
      </c>
    </row>
    <row r="194" spans="1:22" ht="15" customHeight="1">
      <c r="A194" s="8" t="s">
        <v>665</v>
      </c>
      <c r="B194" s="9" t="s">
        <v>73</v>
      </c>
      <c r="C194" s="9" t="s">
        <v>23</v>
      </c>
      <c r="D194" s="9" t="s">
        <v>222</v>
      </c>
      <c r="E194" s="9"/>
      <c r="F194" s="9" t="s">
        <v>666</v>
      </c>
      <c r="G194" s="9" t="s">
        <v>224</v>
      </c>
      <c r="H194" s="8">
        <v>3</v>
      </c>
      <c r="I194" s="8">
        <v>3</v>
      </c>
      <c r="J194" s="8" t="s">
        <v>563</v>
      </c>
      <c r="K194" s="8" t="s">
        <v>646</v>
      </c>
      <c r="L194" s="8">
        <v>13</v>
      </c>
      <c r="M194" s="8">
        <v>2025</v>
      </c>
      <c r="N194" s="8"/>
      <c r="O194" s="9" t="s">
        <v>667</v>
      </c>
      <c r="P194" s="8"/>
      <c r="Q194" s="8"/>
      <c r="R194" s="9" t="s">
        <v>55</v>
      </c>
      <c r="S194" s="8" t="s">
        <v>32</v>
      </c>
      <c r="T194" s="9" t="s">
        <v>33</v>
      </c>
      <c r="U194" s="8" t="s">
        <v>34</v>
      </c>
      <c r="V194" s="8" t="s">
        <v>604</v>
      </c>
    </row>
    <row r="195" spans="1:22" ht="15" customHeight="1">
      <c r="A195" s="8" t="s">
        <v>668</v>
      </c>
      <c r="B195" s="9" t="s">
        <v>73</v>
      </c>
      <c r="C195" s="9" t="s">
        <v>23</v>
      </c>
      <c r="D195" s="9" t="s">
        <v>222</v>
      </c>
      <c r="E195" s="9"/>
      <c r="F195" s="9" t="s">
        <v>223</v>
      </c>
      <c r="G195" s="9" t="s">
        <v>224</v>
      </c>
      <c r="H195" s="8">
        <v>3</v>
      </c>
      <c r="I195" s="8">
        <v>3</v>
      </c>
      <c r="J195" s="8" t="s">
        <v>563</v>
      </c>
      <c r="K195" s="8" t="s">
        <v>646</v>
      </c>
      <c r="L195" s="8">
        <v>13</v>
      </c>
      <c r="M195" s="8">
        <v>2025</v>
      </c>
      <c r="N195" s="8"/>
      <c r="O195" s="9" t="s">
        <v>669</v>
      </c>
      <c r="P195" s="8"/>
      <c r="Q195" s="8"/>
      <c r="R195" s="9" t="s">
        <v>55</v>
      </c>
      <c r="S195" s="8" t="s">
        <v>32</v>
      </c>
      <c r="T195" s="9" t="s">
        <v>33</v>
      </c>
      <c r="U195" s="8" t="s">
        <v>34</v>
      </c>
      <c r="V195" s="8" t="s">
        <v>606</v>
      </c>
    </row>
    <row r="196" spans="1:22" ht="15" customHeight="1">
      <c r="A196" s="8" t="s">
        <v>670</v>
      </c>
      <c r="B196" s="9" t="s">
        <v>73</v>
      </c>
      <c r="C196" s="9" t="s">
        <v>23</v>
      </c>
      <c r="D196" s="9" t="s">
        <v>222</v>
      </c>
      <c r="E196" s="9"/>
      <c r="F196" s="9" t="s">
        <v>671</v>
      </c>
      <c r="G196" s="9" t="s">
        <v>224</v>
      </c>
      <c r="H196" s="8">
        <v>3</v>
      </c>
      <c r="I196" s="8">
        <v>3</v>
      </c>
      <c r="J196" s="8" t="s">
        <v>563</v>
      </c>
      <c r="K196" s="8" t="s">
        <v>646</v>
      </c>
      <c r="L196" s="8">
        <v>13</v>
      </c>
      <c r="M196" s="8">
        <v>2025</v>
      </c>
      <c r="N196" s="8"/>
      <c r="O196" s="9" t="s">
        <v>672</v>
      </c>
      <c r="P196" s="8"/>
      <c r="Q196" s="8"/>
      <c r="R196" s="9" t="s">
        <v>55</v>
      </c>
      <c r="S196" s="8" t="s">
        <v>32</v>
      </c>
      <c r="T196" s="9" t="s">
        <v>33</v>
      </c>
      <c r="U196" s="8" t="s">
        <v>34</v>
      </c>
      <c r="V196" s="8" t="s">
        <v>604</v>
      </c>
    </row>
    <row r="197" spans="1:22" ht="15" customHeight="1">
      <c r="A197" s="8" t="s">
        <v>673</v>
      </c>
      <c r="B197" s="9" t="s">
        <v>73</v>
      </c>
      <c r="C197" s="9" t="s">
        <v>23</v>
      </c>
      <c r="D197" s="9" t="s">
        <v>222</v>
      </c>
      <c r="E197" s="9"/>
      <c r="F197" s="9" t="s">
        <v>229</v>
      </c>
      <c r="G197" s="9" t="s">
        <v>224</v>
      </c>
      <c r="H197" s="8">
        <v>3</v>
      </c>
      <c r="I197" s="8">
        <v>3</v>
      </c>
      <c r="J197" s="8" t="s">
        <v>563</v>
      </c>
      <c r="K197" s="8" t="s">
        <v>646</v>
      </c>
      <c r="L197" s="8">
        <v>13</v>
      </c>
      <c r="M197" s="8">
        <v>2025</v>
      </c>
      <c r="N197" s="8"/>
      <c r="O197" s="9" t="s">
        <v>674</v>
      </c>
      <c r="P197" s="8"/>
      <c r="Q197" s="8"/>
      <c r="R197" s="9" t="s">
        <v>55</v>
      </c>
      <c r="S197" s="8" t="s">
        <v>32</v>
      </c>
      <c r="T197" s="9" t="s">
        <v>33</v>
      </c>
      <c r="U197" s="8" t="s">
        <v>34</v>
      </c>
      <c r="V197" s="8" t="s">
        <v>606</v>
      </c>
    </row>
    <row r="198" spans="1:22" ht="15" customHeight="1">
      <c r="A198" s="8" t="s">
        <v>675</v>
      </c>
      <c r="B198" s="9" t="s">
        <v>73</v>
      </c>
      <c r="C198" s="9" t="s">
        <v>23</v>
      </c>
      <c r="D198" s="9" t="s">
        <v>222</v>
      </c>
      <c r="E198" s="9"/>
      <c r="F198" s="9" t="s">
        <v>231</v>
      </c>
      <c r="G198" s="9" t="s">
        <v>224</v>
      </c>
      <c r="H198" s="8">
        <v>3</v>
      </c>
      <c r="I198" s="8">
        <v>3</v>
      </c>
      <c r="J198" s="8" t="s">
        <v>563</v>
      </c>
      <c r="K198" s="8" t="s">
        <v>646</v>
      </c>
      <c r="L198" s="8">
        <v>13</v>
      </c>
      <c r="M198" s="8">
        <v>2025</v>
      </c>
      <c r="N198" s="8"/>
      <c r="O198" s="9" t="s">
        <v>676</v>
      </c>
      <c r="P198" s="8"/>
      <c r="Q198" s="8"/>
      <c r="R198" s="9" t="s">
        <v>55</v>
      </c>
      <c r="S198" s="8" t="s">
        <v>32</v>
      </c>
      <c r="T198" s="9" t="s">
        <v>33</v>
      </c>
      <c r="U198" s="8" t="s">
        <v>34</v>
      </c>
      <c r="V198" s="8" t="s">
        <v>606</v>
      </c>
    </row>
    <row r="199" spans="1:22" ht="15" customHeight="1">
      <c r="A199" s="8" t="s">
        <v>677</v>
      </c>
      <c r="B199" s="9" t="s">
        <v>73</v>
      </c>
      <c r="C199" s="9" t="s">
        <v>23</v>
      </c>
      <c r="D199" s="9" t="s">
        <v>222</v>
      </c>
      <c r="E199" s="9"/>
      <c r="F199" s="9" t="s">
        <v>235</v>
      </c>
      <c r="G199" s="9" t="s">
        <v>224</v>
      </c>
      <c r="H199" s="8">
        <v>5</v>
      </c>
      <c r="I199" s="8">
        <v>5</v>
      </c>
      <c r="J199" s="8" t="s">
        <v>563</v>
      </c>
      <c r="K199" s="8" t="s">
        <v>646</v>
      </c>
      <c r="L199" s="8">
        <v>13</v>
      </c>
      <c r="M199" s="8">
        <v>2025</v>
      </c>
      <c r="N199" s="8"/>
      <c r="O199" s="9" t="s">
        <v>678</v>
      </c>
      <c r="P199" s="8"/>
      <c r="Q199" s="8"/>
      <c r="R199" s="9" t="s">
        <v>55</v>
      </c>
      <c r="S199" s="8" t="s">
        <v>32</v>
      </c>
      <c r="T199" s="9" t="s">
        <v>33</v>
      </c>
      <c r="U199" s="8" t="s">
        <v>34</v>
      </c>
      <c r="V199" s="8" t="s">
        <v>606</v>
      </c>
    </row>
    <row r="200" spans="1:22" ht="15" customHeight="1">
      <c r="A200" s="8" t="s">
        <v>679</v>
      </c>
      <c r="B200" s="9" t="s">
        <v>73</v>
      </c>
      <c r="C200" s="9" t="s">
        <v>23</v>
      </c>
      <c r="D200" s="9" t="s">
        <v>222</v>
      </c>
      <c r="E200" s="9"/>
      <c r="F200" s="9" t="s">
        <v>680</v>
      </c>
      <c r="G200" s="9" t="s">
        <v>224</v>
      </c>
      <c r="H200" s="8">
        <v>4</v>
      </c>
      <c r="I200" s="8">
        <v>4</v>
      </c>
      <c r="J200" s="8" t="s">
        <v>563</v>
      </c>
      <c r="K200" s="8" t="s">
        <v>646</v>
      </c>
      <c r="L200" s="8">
        <v>13</v>
      </c>
      <c r="M200" s="8">
        <v>2025</v>
      </c>
      <c r="N200" s="8"/>
      <c r="O200" s="9" t="s">
        <v>681</v>
      </c>
      <c r="P200" s="8"/>
      <c r="Q200" s="8"/>
      <c r="R200" s="9" t="s">
        <v>55</v>
      </c>
      <c r="S200" s="8" t="s">
        <v>32</v>
      </c>
      <c r="T200" s="9" t="s">
        <v>33</v>
      </c>
      <c r="U200" s="8" t="s">
        <v>34</v>
      </c>
      <c r="V200" s="8" t="s">
        <v>604</v>
      </c>
    </row>
    <row r="201" spans="1:22" ht="15" customHeight="1">
      <c r="A201" s="8" t="s">
        <v>682</v>
      </c>
      <c r="B201" s="9" t="s">
        <v>73</v>
      </c>
      <c r="C201" s="9" t="s">
        <v>23</v>
      </c>
      <c r="D201" s="9" t="s">
        <v>237</v>
      </c>
      <c r="E201" s="9"/>
      <c r="F201" s="9" t="s">
        <v>238</v>
      </c>
      <c r="G201" s="9" t="s">
        <v>224</v>
      </c>
      <c r="H201" s="8">
        <v>30</v>
      </c>
      <c r="I201" s="8">
        <v>30</v>
      </c>
      <c r="J201" s="8" t="s">
        <v>563</v>
      </c>
      <c r="K201" s="8" t="s">
        <v>646</v>
      </c>
      <c r="L201" s="8">
        <v>13</v>
      </c>
      <c r="M201" s="8">
        <v>2025</v>
      </c>
      <c r="N201" s="8"/>
      <c r="O201" s="9" t="s">
        <v>683</v>
      </c>
      <c r="P201" s="8"/>
      <c r="Q201" s="8"/>
      <c r="R201" s="9" t="s">
        <v>31</v>
      </c>
      <c r="S201" s="8" t="s">
        <v>32</v>
      </c>
      <c r="T201" s="9" t="s">
        <v>33</v>
      </c>
      <c r="U201" s="8" t="s">
        <v>34</v>
      </c>
      <c r="V201" s="8" t="s">
        <v>606</v>
      </c>
    </row>
    <row r="202" spans="1:22" ht="15" customHeight="1">
      <c r="A202" s="8" t="s">
        <v>684</v>
      </c>
      <c r="B202" s="9" t="s">
        <v>73</v>
      </c>
      <c r="C202" s="9" t="s">
        <v>23</v>
      </c>
      <c r="D202" s="9" t="s">
        <v>240</v>
      </c>
      <c r="E202" s="9"/>
      <c r="F202" s="9" t="s">
        <v>241</v>
      </c>
      <c r="G202" s="9" t="s">
        <v>224</v>
      </c>
      <c r="H202" s="8">
        <v>10</v>
      </c>
      <c r="I202" s="8">
        <v>10</v>
      </c>
      <c r="J202" s="8" t="s">
        <v>563</v>
      </c>
      <c r="K202" s="8" t="s">
        <v>646</v>
      </c>
      <c r="L202" s="8">
        <v>13</v>
      </c>
      <c r="M202" s="8">
        <v>2025</v>
      </c>
      <c r="N202" s="8"/>
      <c r="O202" s="9" t="s">
        <v>685</v>
      </c>
      <c r="P202" s="8"/>
      <c r="Q202" s="8"/>
      <c r="R202" s="9" t="s">
        <v>31</v>
      </c>
      <c r="S202" s="8" t="s">
        <v>32</v>
      </c>
      <c r="T202" s="9" t="s">
        <v>33</v>
      </c>
      <c r="U202" s="8" t="s">
        <v>34</v>
      </c>
      <c r="V202" s="8" t="s">
        <v>606</v>
      </c>
    </row>
    <row r="203" spans="1:22" ht="15" customHeight="1">
      <c r="A203" s="8" t="s">
        <v>686</v>
      </c>
      <c r="B203" s="9" t="s">
        <v>73</v>
      </c>
      <c r="C203" s="9" t="s">
        <v>23</v>
      </c>
      <c r="D203" s="9" t="s">
        <v>240</v>
      </c>
      <c r="E203" s="9"/>
      <c r="F203" s="9" t="s">
        <v>243</v>
      </c>
      <c r="G203" s="9" t="s">
        <v>224</v>
      </c>
      <c r="H203" s="8">
        <v>30</v>
      </c>
      <c r="I203" s="8">
        <v>30</v>
      </c>
      <c r="J203" s="8" t="s">
        <v>563</v>
      </c>
      <c r="K203" s="8" t="s">
        <v>646</v>
      </c>
      <c r="L203" s="8">
        <v>13</v>
      </c>
      <c r="M203" s="8">
        <v>2025</v>
      </c>
      <c r="N203" s="8"/>
      <c r="O203" s="9" t="s">
        <v>687</v>
      </c>
      <c r="P203" s="8"/>
      <c r="Q203" s="8"/>
      <c r="R203" s="9" t="s">
        <v>31</v>
      </c>
      <c r="S203" s="8" t="s">
        <v>32</v>
      </c>
      <c r="T203" s="9" t="s">
        <v>33</v>
      </c>
      <c r="U203" s="8" t="s">
        <v>34</v>
      </c>
      <c r="V203" s="8" t="s">
        <v>606</v>
      </c>
    </row>
    <row r="204" spans="1:22" ht="15" customHeight="1">
      <c r="A204" s="8" t="s">
        <v>688</v>
      </c>
      <c r="B204" s="9" t="s">
        <v>73</v>
      </c>
      <c r="C204" s="9" t="s">
        <v>23</v>
      </c>
      <c r="D204" s="9" t="s">
        <v>689</v>
      </c>
      <c r="E204" s="9"/>
      <c r="F204" s="9"/>
      <c r="G204" s="9" t="s">
        <v>246</v>
      </c>
      <c r="H204" s="8">
        <v>5</v>
      </c>
      <c r="I204" s="8">
        <v>5</v>
      </c>
      <c r="J204" s="8" t="s">
        <v>563</v>
      </c>
      <c r="K204" s="8" t="s">
        <v>646</v>
      </c>
      <c r="L204" s="8">
        <v>13</v>
      </c>
      <c r="M204" s="8">
        <v>2025</v>
      </c>
      <c r="N204" s="8"/>
      <c r="O204" s="9" t="s">
        <v>689</v>
      </c>
      <c r="P204" s="8"/>
      <c r="Q204" s="8"/>
      <c r="R204" s="9" t="s">
        <v>55</v>
      </c>
      <c r="S204" s="8" t="s">
        <v>32</v>
      </c>
      <c r="T204" s="9" t="s">
        <v>33</v>
      </c>
      <c r="U204" s="8" t="s">
        <v>34</v>
      </c>
      <c r="V204" s="8" t="s">
        <v>690</v>
      </c>
    </row>
    <row r="205" spans="1:22" ht="15" customHeight="1">
      <c r="A205" s="8" t="s">
        <v>691</v>
      </c>
      <c r="B205" s="9" t="s">
        <v>73</v>
      </c>
      <c r="C205" s="9" t="s">
        <v>23</v>
      </c>
      <c r="D205" s="9" t="s">
        <v>692</v>
      </c>
      <c r="E205" s="9"/>
      <c r="F205" s="9"/>
      <c r="G205" s="9" t="s">
        <v>198</v>
      </c>
      <c r="H205" s="8">
        <v>5</v>
      </c>
      <c r="I205" s="8">
        <v>5</v>
      </c>
      <c r="J205" s="8" t="s">
        <v>563</v>
      </c>
      <c r="K205" s="8" t="s">
        <v>646</v>
      </c>
      <c r="L205" s="8">
        <v>13</v>
      </c>
      <c r="M205" s="8">
        <v>2025</v>
      </c>
      <c r="N205" s="8"/>
      <c r="O205" s="9" t="s">
        <v>692</v>
      </c>
      <c r="P205" s="8"/>
      <c r="Q205" s="8"/>
      <c r="R205" s="9" t="s">
        <v>55</v>
      </c>
      <c r="S205" s="8" t="s">
        <v>32</v>
      </c>
      <c r="T205" s="9" t="s">
        <v>33</v>
      </c>
      <c r="U205" s="8" t="s">
        <v>34</v>
      </c>
      <c r="V205" s="8" t="s">
        <v>693</v>
      </c>
    </row>
    <row r="206" spans="1:22" ht="15" customHeight="1">
      <c r="A206" s="8" t="s">
        <v>694</v>
      </c>
      <c r="B206" s="9" t="s">
        <v>73</v>
      </c>
      <c r="C206" s="9" t="s">
        <v>23</v>
      </c>
      <c r="D206" s="9" t="s">
        <v>695</v>
      </c>
      <c r="E206" s="9"/>
      <c r="F206" s="9" t="s">
        <v>696</v>
      </c>
      <c r="G206" s="9" t="s">
        <v>26</v>
      </c>
      <c r="H206" s="8">
        <v>2</v>
      </c>
      <c r="I206" s="8">
        <v>2</v>
      </c>
      <c r="J206" s="8" t="s">
        <v>563</v>
      </c>
      <c r="K206" s="8" t="s">
        <v>646</v>
      </c>
      <c r="L206" s="8">
        <v>13</v>
      </c>
      <c r="M206" s="8">
        <v>2025</v>
      </c>
      <c r="N206" s="8"/>
      <c r="O206" s="9" t="s">
        <v>697</v>
      </c>
      <c r="P206" s="8"/>
      <c r="Q206" s="8"/>
      <c r="R206" s="9" t="s">
        <v>55</v>
      </c>
      <c r="S206" s="8" t="s">
        <v>32</v>
      </c>
      <c r="T206" s="9" t="s">
        <v>33</v>
      </c>
      <c r="U206" s="8" t="s">
        <v>34</v>
      </c>
      <c r="V206" s="8" t="s">
        <v>606</v>
      </c>
    </row>
    <row r="207" spans="1:22" ht="15" customHeight="1">
      <c r="A207" s="8" t="s">
        <v>698</v>
      </c>
      <c r="B207" s="9" t="s">
        <v>73</v>
      </c>
      <c r="C207" s="9" t="s">
        <v>23</v>
      </c>
      <c r="D207" s="9" t="s">
        <v>695</v>
      </c>
      <c r="E207" s="9"/>
      <c r="F207" s="9" t="s">
        <v>699</v>
      </c>
      <c r="G207" s="9" t="s">
        <v>26</v>
      </c>
      <c r="H207" s="8">
        <v>1</v>
      </c>
      <c r="I207" s="8">
        <v>1</v>
      </c>
      <c r="J207" s="8" t="s">
        <v>563</v>
      </c>
      <c r="K207" s="8" t="s">
        <v>646</v>
      </c>
      <c r="L207" s="8">
        <v>13</v>
      </c>
      <c r="M207" s="8">
        <v>2025</v>
      </c>
      <c r="N207" s="8"/>
      <c r="O207" s="9" t="s">
        <v>700</v>
      </c>
      <c r="P207" s="8"/>
      <c r="Q207" s="8"/>
      <c r="R207" s="9" t="s">
        <v>55</v>
      </c>
      <c r="S207" s="8" t="s">
        <v>32</v>
      </c>
      <c r="T207" s="9" t="s">
        <v>33</v>
      </c>
      <c r="U207" s="8" t="s">
        <v>34</v>
      </c>
      <c r="V207" s="8" t="s">
        <v>606</v>
      </c>
    </row>
    <row r="208" spans="1:22" ht="15" customHeight="1">
      <c r="A208" s="8" t="s">
        <v>701</v>
      </c>
      <c r="B208" s="9" t="s">
        <v>73</v>
      </c>
      <c r="C208" s="9" t="s">
        <v>23</v>
      </c>
      <c r="D208" s="9" t="s">
        <v>695</v>
      </c>
      <c r="E208" s="9"/>
      <c r="F208" s="9" t="s">
        <v>702</v>
      </c>
      <c r="G208" s="9" t="s">
        <v>26</v>
      </c>
      <c r="H208" s="8">
        <v>1</v>
      </c>
      <c r="I208" s="8">
        <v>1</v>
      </c>
      <c r="J208" s="8" t="s">
        <v>563</v>
      </c>
      <c r="K208" s="8" t="s">
        <v>646</v>
      </c>
      <c r="L208" s="8">
        <v>13</v>
      </c>
      <c r="M208" s="8">
        <v>2025</v>
      </c>
      <c r="N208" s="8"/>
      <c r="O208" s="9" t="s">
        <v>703</v>
      </c>
      <c r="P208" s="8"/>
      <c r="Q208" s="8"/>
      <c r="R208" s="9" t="s">
        <v>55</v>
      </c>
      <c r="S208" s="8" t="s">
        <v>32</v>
      </c>
      <c r="T208" s="9" t="s">
        <v>33</v>
      </c>
      <c r="U208" s="8" t="s">
        <v>34</v>
      </c>
      <c r="V208" s="8" t="s">
        <v>606</v>
      </c>
    </row>
    <row r="209" spans="1:22" ht="15" customHeight="1">
      <c r="A209" s="8" t="s">
        <v>704</v>
      </c>
      <c r="B209" s="9" t="s">
        <v>73</v>
      </c>
      <c r="C209" s="9" t="s">
        <v>23</v>
      </c>
      <c r="D209" s="9" t="s">
        <v>705</v>
      </c>
      <c r="E209" s="9"/>
      <c r="F209" s="9" t="s">
        <v>706</v>
      </c>
      <c r="G209" s="9" t="s">
        <v>26</v>
      </c>
      <c r="H209" s="8">
        <v>3</v>
      </c>
      <c r="I209" s="8">
        <v>3</v>
      </c>
      <c r="J209" s="8" t="s">
        <v>563</v>
      </c>
      <c r="K209" s="8" t="s">
        <v>646</v>
      </c>
      <c r="L209" s="8">
        <v>13</v>
      </c>
      <c r="M209" s="8">
        <v>2025</v>
      </c>
      <c r="N209" s="8"/>
      <c r="O209" s="9" t="s">
        <v>707</v>
      </c>
      <c r="P209" s="8"/>
      <c r="Q209" s="8"/>
      <c r="R209" s="9" t="s">
        <v>55</v>
      </c>
      <c r="S209" s="8" t="s">
        <v>32</v>
      </c>
      <c r="T209" s="9" t="s">
        <v>33</v>
      </c>
      <c r="U209" s="8" t="s">
        <v>34</v>
      </c>
      <c r="V209" s="8" t="s">
        <v>606</v>
      </c>
    </row>
    <row r="210" spans="1:22" ht="15" customHeight="1">
      <c r="A210" s="8" t="s">
        <v>708</v>
      </c>
      <c r="B210" s="9" t="s">
        <v>73</v>
      </c>
      <c r="C210" s="9" t="s">
        <v>23</v>
      </c>
      <c r="D210" s="9" t="s">
        <v>705</v>
      </c>
      <c r="E210" s="9"/>
      <c r="F210" s="9" t="s">
        <v>709</v>
      </c>
      <c r="G210" s="9" t="s">
        <v>26</v>
      </c>
      <c r="H210" s="8">
        <v>2</v>
      </c>
      <c r="I210" s="8">
        <v>2</v>
      </c>
      <c r="J210" s="8" t="s">
        <v>563</v>
      </c>
      <c r="K210" s="8" t="s">
        <v>646</v>
      </c>
      <c r="L210" s="8">
        <v>13</v>
      </c>
      <c r="M210" s="8">
        <v>2025</v>
      </c>
      <c r="N210" s="8"/>
      <c r="O210" s="9" t="s">
        <v>710</v>
      </c>
      <c r="P210" s="8"/>
      <c r="Q210" s="8"/>
      <c r="R210" s="9" t="s">
        <v>55</v>
      </c>
      <c r="S210" s="8" t="s">
        <v>32</v>
      </c>
      <c r="T210" s="9" t="s">
        <v>33</v>
      </c>
      <c r="U210" s="8" t="s">
        <v>34</v>
      </c>
      <c r="V210" s="8" t="s">
        <v>606</v>
      </c>
    </row>
    <row r="211" spans="1:22" ht="15" customHeight="1">
      <c r="A211" s="8" t="s">
        <v>711</v>
      </c>
      <c r="B211" s="9" t="s">
        <v>73</v>
      </c>
      <c r="C211" s="9" t="s">
        <v>23</v>
      </c>
      <c r="D211" s="9" t="s">
        <v>705</v>
      </c>
      <c r="E211" s="9"/>
      <c r="F211" s="9" t="s">
        <v>712</v>
      </c>
      <c r="G211" s="9" t="s">
        <v>26</v>
      </c>
      <c r="H211" s="8">
        <v>5</v>
      </c>
      <c r="I211" s="8">
        <v>5</v>
      </c>
      <c r="J211" s="8" t="s">
        <v>563</v>
      </c>
      <c r="K211" s="8" t="s">
        <v>646</v>
      </c>
      <c r="L211" s="8">
        <v>13</v>
      </c>
      <c r="M211" s="8">
        <v>2025</v>
      </c>
      <c r="N211" s="8"/>
      <c r="O211" s="9" t="s">
        <v>713</v>
      </c>
      <c r="P211" s="8"/>
      <c r="Q211" s="8"/>
      <c r="R211" s="9" t="s">
        <v>55</v>
      </c>
      <c r="S211" s="8" t="s">
        <v>32</v>
      </c>
      <c r="T211" s="9" t="s">
        <v>33</v>
      </c>
      <c r="U211" s="8" t="s">
        <v>34</v>
      </c>
      <c r="V211" s="8" t="s">
        <v>606</v>
      </c>
    </row>
    <row r="212" spans="1:22" ht="15" customHeight="1">
      <c r="A212" s="8" t="s">
        <v>714</v>
      </c>
      <c r="B212" s="9" t="s">
        <v>73</v>
      </c>
      <c r="C212" s="9" t="s">
        <v>23</v>
      </c>
      <c r="D212" s="9" t="s">
        <v>715</v>
      </c>
      <c r="E212" s="9"/>
      <c r="F212" s="9"/>
      <c r="G212" s="9" t="s">
        <v>198</v>
      </c>
      <c r="H212" s="8">
        <v>5</v>
      </c>
      <c r="I212" s="8">
        <v>5</v>
      </c>
      <c r="J212" s="8" t="s">
        <v>563</v>
      </c>
      <c r="K212" s="8" t="s">
        <v>646</v>
      </c>
      <c r="L212" s="8">
        <v>13</v>
      </c>
      <c r="M212" s="8">
        <v>2025</v>
      </c>
      <c r="N212" s="8"/>
      <c r="O212" s="9" t="s">
        <v>715</v>
      </c>
      <c r="P212" s="8"/>
      <c r="Q212" s="8"/>
      <c r="R212" s="9" t="s">
        <v>55</v>
      </c>
      <c r="S212" s="8" t="s">
        <v>32</v>
      </c>
      <c r="T212" s="9" t="s">
        <v>33</v>
      </c>
      <c r="U212" s="8" t="s">
        <v>34</v>
      </c>
      <c r="V212" s="8" t="s">
        <v>606</v>
      </c>
    </row>
    <row r="213" spans="1:22" ht="15" customHeight="1">
      <c r="A213" s="8" t="s">
        <v>716</v>
      </c>
      <c r="B213" s="9" t="s">
        <v>73</v>
      </c>
      <c r="C213" s="9" t="s">
        <v>23</v>
      </c>
      <c r="D213" s="9" t="s">
        <v>717</v>
      </c>
      <c r="E213" s="9"/>
      <c r="F213" s="9"/>
      <c r="G213" s="9" t="s">
        <v>26</v>
      </c>
      <c r="H213" s="8">
        <v>4</v>
      </c>
      <c r="I213" s="8">
        <v>4</v>
      </c>
      <c r="J213" s="8" t="s">
        <v>563</v>
      </c>
      <c r="K213" s="8" t="s">
        <v>646</v>
      </c>
      <c r="L213" s="8">
        <v>13</v>
      </c>
      <c r="M213" s="8">
        <v>2025</v>
      </c>
      <c r="N213" s="8"/>
      <c r="O213" s="9" t="s">
        <v>717</v>
      </c>
      <c r="P213" s="8"/>
      <c r="Q213" s="8"/>
      <c r="R213" s="9" t="s">
        <v>55</v>
      </c>
      <c r="S213" s="8" t="s">
        <v>32</v>
      </c>
      <c r="T213" s="9" t="s">
        <v>33</v>
      </c>
      <c r="U213" s="8" t="s">
        <v>34</v>
      </c>
      <c r="V213" s="8" t="s">
        <v>606</v>
      </c>
    </row>
    <row r="214" spans="1:22" ht="15" customHeight="1">
      <c r="A214" s="8" t="s">
        <v>718</v>
      </c>
      <c r="B214" s="9" t="s">
        <v>73</v>
      </c>
      <c r="C214" s="9" t="s">
        <v>23</v>
      </c>
      <c r="D214" s="9" t="s">
        <v>719</v>
      </c>
      <c r="E214" s="9"/>
      <c r="F214" s="9" t="s">
        <v>720</v>
      </c>
      <c r="G214" s="8" t="s">
        <v>44</v>
      </c>
      <c r="H214" s="8">
        <v>2</v>
      </c>
      <c r="I214" s="8">
        <v>2</v>
      </c>
      <c r="J214" s="8" t="s">
        <v>563</v>
      </c>
      <c r="K214" s="8" t="s">
        <v>646</v>
      </c>
      <c r="L214" s="8">
        <v>13</v>
      </c>
      <c r="M214" s="8">
        <v>2025</v>
      </c>
      <c r="N214" s="8"/>
      <c r="O214" s="9" t="s">
        <v>721</v>
      </c>
      <c r="P214" s="8"/>
      <c r="Q214" s="8"/>
      <c r="R214" s="9" t="s">
        <v>55</v>
      </c>
      <c r="S214" s="8" t="s">
        <v>32</v>
      </c>
      <c r="T214" s="9" t="s">
        <v>33</v>
      </c>
      <c r="U214" s="8" t="s">
        <v>34</v>
      </c>
      <c r="V214" s="8" t="s">
        <v>606</v>
      </c>
    </row>
    <row r="215" spans="1:22" ht="15" customHeight="1">
      <c r="A215" s="8" t="s">
        <v>722</v>
      </c>
      <c r="B215" s="9" t="s">
        <v>73</v>
      </c>
      <c r="C215" s="9" t="s">
        <v>23</v>
      </c>
      <c r="D215" s="9" t="s">
        <v>272</v>
      </c>
      <c r="E215" s="9"/>
      <c r="F215" s="9"/>
      <c r="G215" s="9" t="s">
        <v>198</v>
      </c>
      <c r="H215" s="8">
        <v>20</v>
      </c>
      <c r="I215" s="8">
        <v>20</v>
      </c>
      <c r="J215" s="8" t="s">
        <v>563</v>
      </c>
      <c r="K215" s="8" t="s">
        <v>646</v>
      </c>
      <c r="L215" s="8">
        <v>13</v>
      </c>
      <c r="M215" s="8">
        <v>2025</v>
      </c>
      <c r="N215" s="8"/>
      <c r="O215" s="9" t="s">
        <v>272</v>
      </c>
      <c r="P215" s="8"/>
      <c r="Q215" s="8"/>
      <c r="R215" s="9" t="s">
        <v>31</v>
      </c>
      <c r="S215" s="8" t="s">
        <v>32</v>
      </c>
      <c r="T215" s="9" t="s">
        <v>33</v>
      </c>
      <c r="U215" s="8" t="s">
        <v>34</v>
      </c>
      <c r="V215" s="8" t="s">
        <v>606</v>
      </c>
    </row>
    <row r="216" spans="1:22" ht="15" customHeight="1">
      <c r="A216" s="8" t="s">
        <v>723</v>
      </c>
      <c r="B216" s="9" t="s">
        <v>73</v>
      </c>
      <c r="C216" s="9" t="s">
        <v>23</v>
      </c>
      <c r="D216" s="9" t="s">
        <v>275</v>
      </c>
      <c r="E216" s="9"/>
      <c r="F216" s="9"/>
      <c r="G216" s="9" t="s">
        <v>198</v>
      </c>
      <c r="H216" s="8">
        <v>5</v>
      </c>
      <c r="I216" s="8">
        <v>5</v>
      </c>
      <c r="J216" s="8" t="s">
        <v>563</v>
      </c>
      <c r="K216" s="8" t="s">
        <v>646</v>
      </c>
      <c r="L216" s="8">
        <v>13</v>
      </c>
      <c r="M216" s="8">
        <v>2025</v>
      </c>
      <c r="N216" s="8"/>
      <c r="O216" s="9" t="s">
        <v>275</v>
      </c>
      <c r="P216" s="8"/>
      <c r="Q216" s="8"/>
      <c r="R216" s="9" t="s">
        <v>55</v>
      </c>
      <c r="S216" s="8" t="s">
        <v>32</v>
      </c>
      <c r="T216" s="9" t="s">
        <v>33</v>
      </c>
      <c r="U216" s="8" t="s">
        <v>34</v>
      </c>
      <c r="V216" s="8" t="s">
        <v>606</v>
      </c>
    </row>
    <row r="217" spans="1:22" ht="15" customHeight="1">
      <c r="A217" s="8" t="s">
        <v>724</v>
      </c>
      <c r="B217" s="9" t="s">
        <v>73</v>
      </c>
      <c r="C217" s="9" t="s">
        <v>23</v>
      </c>
      <c r="D217" s="9" t="s">
        <v>278</v>
      </c>
      <c r="E217" s="9"/>
      <c r="F217" s="9" t="s">
        <v>279</v>
      </c>
      <c r="G217" s="9" t="s">
        <v>198</v>
      </c>
      <c r="H217" s="8">
        <v>3</v>
      </c>
      <c r="I217" s="8">
        <v>3</v>
      </c>
      <c r="J217" s="8" t="s">
        <v>563</v>
      </c>
      <c r="K217" s="8" t="s">
        <v>646</v>
      </c>
      <c r="L217" s="8">
        <v>13</v>
      </c>
      <c r="M217" s="8">
        <v>2025</v>
      </c>
      <c r="N217" s="8"/>
      <c r="O217" s="9" t="s">
        <v>725</v>
      </c>
      <c r="P217" s="8"/>
      <c r="Q217" s="8"/>
      <c r="R217" s="9" t="s">
        <v>55</v>
      </c>
      <c r="S217" s="8" t="s">
        <v>32</v>
      </c>
      <c r="T217" s="9" t="s">
        <v>33</v>
      </c>
      <c r="U217" s="8" t="s">
        <v>34</v>
      </c>
      <c r="V217" s="8" t="s">
        <v>726</v>
      </c>
    </row>
    <row r="218" spans="1:22" ht="15" customHeight="1">
      <c r="A218" s="8" t="s">
        <v>727</v>
      </c>
      <c r="B218" s="9" t="s">
        <v>73</v>
      </c>
      <c r="C218" s="9" t="s">
        <v>23</v>
      </c>
      <c r="D218" s="9" t="s">
        <v>278</v>
      </c>
      <c r="E218" s="9"/>
      <c r="F218" s="9" t="s">
        <v>728</v>
      </c>
      <c r="G218" s="9" t="s">
        <v>198</v>
      </c>
      <c r="H218" s="8">
        <v>5</v>
      </c>
      <c r="I218" s="8">
        <v>5</v>
      </c>
      <c r="J218" s="8" t="s">
        <v>563</v>
      </c>
      <c r="K218" s="8" t="s">
        <v>646</v>
      </c>
      <c r="L218" s="8">
        <v>13</v>
      </c>
      <c r="M218" s="8">
        <v>2025</v>
      </c>
      <c r="N218" s="8"/>
      <c r="O218" s="9" t="s">
        <v>729</v>
      </c>
      <c r="P218" s="8"/>
      <c r="Q218" s="8"/>
      <c r="R218" s="9" t="s">
        <v>55</v>
      </c>
      <c r="S218" s="8" t="s">
        <v>32</v>
      </c>
      <c r="T218" s="9" t="s">
        <v>33</v>
      </c>
      <c r="U218" s="8" t="s">
        <v>34</v>
      </c>
      <c r="V218" s="8" t="s">
        <v>606</v>
      </c>
    </row>
    <row r="219" spans="1:22" ht="15" customHeight="1">
      <c r="A219" s="8" t="s">
        <v>730</v>
      </c>
      <c r="B219" s="9" t="s">
        <v>73</v>
      </c>
      <c r="C219" s="9" t="s">
        <v>23</v>
      </c>
      <c r="D219" s="9" t="s">
        <v>285</v>
      </c>
      <c r="E219" s="9"/>
      <c r="F219" s="9"/>
      <c r="G219" s="9" t="s">
        <v>198</v>
      </c>
      <c r="H219" s="8">
        <v>5</v>
      </c>
      <c r="I219" s="8">
        <v>5</v>
      </c>
      <c r="J219" s="8" t="s">
        <v>563</v>
      </c>
      <c r="K219" s="8" t="s">
        <v>646</v>
      </c>
      <c r="L219" s="8">
        <v>13</v>
      </c>
      <c r="M219" s="8">
        <v>2025</v>
      </c>
      <c r="N219" s="8"/>
      <c r="O219" s="9" t="s">
        <v>285</v>
      </c>
      <c r="P219" s="8"/>
      <c r="Q219" s="8"/>
      <c r="R219" s="9" t="s">
        <v>55</v>
      </c>
      <c r="S219" s="8" t="s">
        <v>32</v>
      </c>
      <c r="T219" s="9" t="s">
        <v>33</v>
      </c>
      <c r="U219" s="8" t="s">
        <v>34</v>
      </c>
      <c r="V219" s="8" t="s">
        <v>606</v>
      </c>
    </row>
    <row r="220" spans="1:22" ht="15" customHeight="1">
      <c r="A220" s="8" t="s">
        <v>731</v>
      </c>
      <c r="B220" s="9" t="s">
        <v>73</v>
      </c>
      <c r="C220" s="9" t="s">
        <v>23</v>
      </c>
      <c r="D220" s="9" t="s">
        <v>288</v>
      </c>
      <c r="E220" s="9"/>
      <c r="F220" s="9" t="s">
        <v>732</v>
      </c>
      <c r="G220" s="9" t="s">
        <v>198</v>
      </c>
      <c r="H220" s="8">
        <v>10</v>
      </c>
      <c r="I220" s="8">
        <v>10</v>
      </c>
      <c r="J220" s="8" t="s">
        <v>563</v>
      </c>
      <c r="K220" s="8" t="s">
        <v>646</v>
      </c>
      <c r="L220" s="8">
        <v>13</v>
      </c>
      <c r="M220" s="8">
        <v>2025</v>
      </c>
      <c r="N220" s="8"/>
      <c r="O220" s="9" t="s">
        <v>733</v>
      </c>
      <c r="P220" s="8"/>
      <c r="Q220" s="8"/>
      <c r="R220" s="9" t="s">
        <v>31</v>
      </c>
      <c r="S220" s="8" t="s">
        <v>32</v>
      </c>
      <c r="T220" s="9" t="s">
        <v>33</v>
      </c>
      <c r="U220" s="8" t="s">
        <v>34</v>
      </c>
      <c r="V220" s="8" t="s">
        <v>606</v>
      </c>
    </row>
    <row r="221" spans="1:22" ht="15" customHeight="1">
      <c r="A221" s="8" t="s">
        <v>734</v>
      </c>
      <c r="B221" s="9" t="s">
        <v>73</v>
      </c>
      <c r="C221" s="9" t="s">
        <v>23</v>
      </c>
      <c r="D221" s="9" t="s">
        <v>288</v>
      </c>
      <c r="E221" s="9"/>
      <c r="F221" s="9" t="s">
        <v>735</v>
      </c>
      <c r="G221" s="9" t="s">
        <v>198</v>
      </c>
      <c r="H221" s="8">
        <v>3</v>
      </c>
      <c r="I221" s="8">
        <v>3</v>
      </c>
      <c r="J221" s="8" t="s">
        <v>563</v>
      </c>
      <c r="K221" s="8" t="s">
        <v>646</v>
      </c>
      <c r="L221" s="8">
        <v>13</v>
      </c>
      <c r="M221" s="8">
        <v>2025</v>
      </c>
      <c r="N221" s="8"/>
      <c r="O221" s="9" t="s">
        <v>736</v>
      </c>
      <c r="P221" s="8"/>
      <c r="Q221" s="8"/>
      <c r="R221" s="9" t="s">
        <v>55</v>
      </c>
      <c r="S221" s="8" t="s">
        <v>32</v>
      </c>
      <c r="T221" s="9" t="s">
        <v>33</v>
      </c>
      <c r="U221" s="8" t="s">
        <v>34</v>
      </c>
      <c r="V221" s="8" t="s">
        <v>737</v>
      </c>
    </row>
    <row r="222" spans="1:22" ht="15" customHeight="1">
      <c r="A222" s="8" t="s">
        <v>738</v>
      </c>
      <c r="B222" s="9" t="s">
        <v>73</v>
      </c>
      <c r="C222" s="9" t="s">
        <v>23</v>
      </c>
      <c r="D222" s="9" t="s">
        <v>291</v>
      </c>
      <c r="E222" s="9"/>
      <c r="F222" s="9"/>
      <c r="G222" s="9" t="s">
        <v>198</v>
      </c>
      <c r="H222" s="8">
        <v>8</v>
      </c>
      <c r="I222" s="8">
        <v>8</v>
      </c>
      <c r="J222" s="8" t="s">
        <v>563</v>
      </c>
      <c r="K222" s="8" t="s">
        <v>646</v>
      </c>
      <c r="L222" s="8">
        <v>13</v>
      </c>
      <c r="M222" s="8">
        <v>2025</v>
      </c>
      <c r="N222" s="8"/>
      <c r="O222" s="9" t="s">
        <v>291</v>
      </c>
      <c r="P222" s="8"/>
      <c r="Q222" s="8"/>
      <c r="R222" s="9" t="s">
        <v>55</v>
      </c>
      <c r="S222" s="8" t="s">
        <v>32</v>
      </c>
      <c r="T222" s="9" t="s">
        <v>33</v>
      </c>
      <c r="U222" s="8" t="s">
        <v>34</v>
      </c>
      <c r="V222" s="8" t="s">
        <v>739</v>
      </c>
    </row>
    <row r="223" spans="1:22" ht="15" customHeight="1">
      <c r="A223" s="8" t="s">
        <v>740</v>
      </c>
      <c r="B223" s="9" t="s">
        <v>73</v>
      </c>
      <c r="C223" s="9" t="s">
        <v>23</v>
      </c>
      <c r="D223" s="9" t="s">
        <v>294</v>
      </c>
      <c r="E223" s="9"/>
      <c r="F223" s="9"/>
      <c r="G223" s="9" t="s">
        <v>198</v>
      </c>
      <c r="H223" s="8">
        <v>3</v>
      </c>
      <c r="I223" s="8">
        <v>3</v>
      </c>
      <c r="J223" s="8" t="s">
        <v>563</v>
      </c>
      <c r="K223" s="8" t="s">
        <v>646</v>
      </c>
      <c r="L223" s="8">
        <v>13</v>
      </c>
      <c r="M223" s="8">
        <v>2025</v>
      </c>
      <c r="N223" s="8"/>
      <c r="O223" s="9" t="s">
        <v>294</v>
      </c>
      <c r="P223" s="8"/>
      <c r="Q223" s="8"/>
      <c r="R223" s="9" t="s">
        <v>55</v>
      </c>
      <c r="S223" s="8" t="s">
        <v>32</v>
      </c>
      <c r="T223" s="9" t="s">
        <v>33</v>
      </c>
      <c r="U223" s="8" t="s">
        <v>34</v>
      </c>
      <c r="V223" s="8" t="s">
        <v>606</v>
      </c>
    </row>
    <row r="224" spans="1:22" ht="15" customHeight="1">
      <c r="A224" s="8" t="s">
        <v>741</v>
      </c>
      <c r="B224" s="9" t="s">
        <v>73</v>
      </c>
      <c r="C224" s="9" t="s">
        <v>23</v>
      </c>
      <c r="D224" s="9" t="s">
        <v>297</v>
      </c>
      <c r="E224" s="9"/>
      <c r="F224" s="9"/>
      <c r="G224" s="9" t="s">
        <v>224</v>
      </c>
      <c r="H224" s="8">
        <v>4</v>
      </c>
      <c r="I224" s="8">
        <v>4</v>
      </c>
      <c r="J224" s="8" t="s">
        <v>563</v>
      </c>
      <c r="K224" s="8" t="s">
        <v>646</v>
      </c>
      <c r="L224" s="8">
        <v>13</v>
      </c>
      <c r="M224" s="8">
        <v>2025</v>
      </c>
      <c r="N224" s="8"/>
      <c r="O224" s="9" t="s">
        <v>297</v>
      </c>
      <c r="P224" s="8"/>
      <c r="Q224" s="8"/>
      <c r="R224" s="9" t="s">
        <v>55</v>
      </c>
      <c r="S224" s="8" t="s">
        <v>32</v>
      </c>
      <c r="T224" s="9" t="s">
        <v>33</v>
      </c>
      <c r="U224" s="8" t="s">
        <v>34</v>
      </c>
      <c r="V224" s="8" t="s">
        <v>606</v>
      </c>
    </row>
    <row r="225" spans="1:22" ht="15" customHeight="1">
      <c r="A225" s="8" t="s">
        <v>742</v>
      </c>
      <c r="B225" s="9" t="s">
        <v>73</v>
      </c>
      <c r="C225" s="9" t="s">
        <v>23</v>
      </c>
      <c r="D225" s="9" t="s">
        <v>300</v>
      </c>
      <c r="E225" s="9"/>
      <c r="F225" s="9"/>
      <c r="G225" s="9" t="s">
        <v>198</v>
      </c>
      <c r="H225" s="8">
        <v>5</v>
      </c>
      <c r="I225" s="8">
        <v>5</v>
      </c>
      <c r="J225" s="8" t="s">
        <v>563</v>
      </c>
      <c r="K225" s="8" t="s">
        <v>646</v>
      </c>
      <c r="L225" s="8">
        <v>13</v>
      </c>
      <c r="M225" s="8">
        <v>2025</v>
      </c>
      <c r="N225" s="8"/>
      <c r="O225" s="9" t="s">
        <v>300</v>
      </c>
      <c r="P225" s="8"/>
      <c r="Q225" s="8"/>
      <c r="R225" s="9" t="s">
        <v>55</v>
      </c>
      <c r="S225" s="8" t="s">
        <v>32</v>
      </c>
      <c r="T225" s="9" t="s">
        <v>33</v>
      </c>
      <c r="U225" s="8" t="s">
        <v>34</v>
      </c>
      <c r="V225" s="8" t="s">
        <v>606</v>
      </c>
    </row>
    <row r="226" spans="1:22" ht="15" customHeight="1">
      <c r="A226" s="8" t="s">
        <v>743</v>
      </c>
      <c r="B226" s="9" t="s">
        <v>73</v>
      </c>
      <c r="C226" s="9" t="s">
        <v>23</v>
      </c>
      <c r="D226" s="9" t="s">
        <v>303</v>
      </c>
      <c r="E226" s="9"/>
      <c r="F226" s="9"/>
      <c r="G226" s="9" t="s">
        <v>198</v>
      </c>
      <c r="H226" s="8">
        <v>3</v>
      </c>
      <c r="I226" s="8">
        <v>3</v>
      </c>
      <c r="J226" s="8" t="s">
        <v>563</v>
      </c>
      <c r="K226" s="8" t="s">
        <v>646</v>
      </c>
      <c r="L226" s="8">
        <v>13</v>
      </c>
      <c r="M226" s="8">
        <v>2025</v>
      </c>
      <c r="N226" s="8"/>
      <c r="O226" s="9" t="s">
        <v>303</v>
      </c>
      <c r="P226" s="8"/>
      <c r="Q226" s="8"/>
      <c r="R226" s="9" t="s">
        <v>55</v>
      </c>
      <c r="S226" s="8" t="s">
        <v>32</v>
      </c>
      <c r="T226" s="9" t="s">
        <v>33</v>
      </c>
      <c r="U226" s="8" t="s">
        <v>34</v>
      </c>
      <c r="V226" s="8" t="s">
        <v>606</v>
      </c>
    </row>
    <row r="227" spans="1:22" ht="15" customHeight="1">
      <c r="A227" s="8" t="s">
        <v>744</v>
      </c>
      <c r="B227" s="9" t="s">
        <v>73</v>
      </c>
      <c r="C227" s="9" t="s">
        <v>23</v>
      </c>
      <c r="D227" s="9" t="s">
        <v>306</v>
      </c>
      <c r="E227" s="9"/>
      <c r="F227" s="9" t="s">
        <v>307</v>
      </c>
      <c r="G227" s="9" t="s">
        <v>198</v>
      </c>
      <c r="H227" s="8">
        <v>3</v>
      </c>
      <c r="I227" s="8">
        <v>3</v>
      </c>
      <c r="J227" s="8" t="s">
        <v>563</v>
      </c>
      <c r="K227" s="8" t="s">
        <v>646</v>
      </c>
      <c r="L227" s="8">
        <v>13</v>
      </c>
      <c r="M227" s="8">
        <v>2025</v>
      </c>
      <c r="N227" s="8"/>
      <c r="O227" s="9" t="s">
        <v>745</v>
      </c>
      <c r="P227" s="8"/>
      <c r="Q227" s="8"/>
      <c r="R227" s="9" t="s">
        <v>55</v>
      </c>
      <c r="S227" s="8" t="s">
        <v>32</v>
      </c>
      <c r="T227" s="9" t="s">
        <v>33</v>
      </c>
      <c r="U227" s="8" t="s">
        <v>34</v>
      </c>
      <c r="V227" s="8" t="s">
        <v>606</v>
      </c>
    </row>
    <row r="228" spans="1:22" ht="15" customHeight="1">
      <c r="A228" s="8" t="s">
        <v>746</v>
      </c>
      <c r="B228" s="9" t="s">
        <v>73</v>
      </c>
      <c r="C228" s="9" t="s">
        <v>23</v>
      </c>
      <c r="D228" s="9" t="s">
        <v>306</v>
      </c>
      <c r="E228" s="9"/>
      <c r="F228" s="9" t="s">
        <v>310</v>
      </c>
      <c r="G228" s="9" t="s">
        <v>198</v>
      </c>
      <c r="H228" s="8">
        <v>3</v>
      </c>
      <c r="I228" s="8">
        <v>3</v>
      </c>
      <c r="J228" s="8" t="s">
        <v>563</v>
      </c>
      <c r="K228" s="8" t="s">
        <v>646</v>
      </c>
      <c r="L228" s="8">
        <v>13</v>
      </c>
      <c r="M228" s="8">
        <v>2025</v>
      </c>
      <c r="N228" s="8"/>
      <c r="O228" s="9" t="s">
        <v>747</v>
      </c>
      <c r="P228" s="8"/>
      <c r="Q228" s="8"/>
      <c r="R228" s="9" t="s">
        <v>55</v>
      </c>
      <c r="S228" s="8" t="s">
        <v>32</v>
      </c>
      <c r="T228" s="9" t="s">
        <v>33</v>
      </c>
      <c r="U228" s="8" t="s">
        <v>34</v>
      </c>
      <c r="V228" s="8" t="s">
        <v>606</v>
      </c>
    </row>
    <row r="229" spans="1:22" ht="15" customHeight="1">
      <c r="A229" s="8" t="s">
        <v>748</v>
      </c>
      <c r="B229" s="9" t="s">
        <v>73</v>
      </c>
      <c r="C229" s="9" t="s">
        <v>23</v>
      </c>
      <c r="D229" s="9" t="s">
        <v>306</v>
      </c>
      <c r="E229" s="9"/>
      <c r="F229" s="9" t="s">
        <v>313</v>
      </c>
      <c r="G229" s="9" t="s">
        <v>198</v>
      </c>
      <c r="H229" s="8">
        <v>3</v>
      </c>
      <c r="I229" s="8">
        <v>3</v>
      </c>
      <c r="J229" s="8" t="s">
        <v>563</v>
      </c>
      <c r="K229" s="8" t="s">
        <v>646</v>
      </c>
      <c r="L229" s="8">
        <v>13</v>
      </c>
      <c r="M229" s="8">
        <v>2025</v>
      </c>
      <c r="N229" s="8"/>
      <c r="O229" s="9" t="s">
        <v>749</v>
      </c>
      <c r="P229" s="8"/>
      <c r="Q229" s="8"/>
      <c r="R229" s="9" t="s">
        <v>55</v>
      </c>
      <c r="S229" s="8" t="s">
        <v>32</v>
      </c>
      <c r="T229" s="9" t="s">
        <v>33</v>
      </c>
      <c r="U229" s="8" t="s">
        <v>34</v>
      </c>
      <c r="V229" s="8" t="s">
        <v>606</v>
      </c>
    </row>
    <row r="230" spans="1:22" ht="15" customHeight="1">
      <c r="A230" s="8" t="s">
        <v>750</v>
      </c>
      <c r="B230" s="9" t="s">
        <v>73</v>
      </c>
      <c r="C230" s="9" t="s">
        <v>23</v>
      </c>
      <c r="D230" s="9" t="s">
        <v>306</v>
      </c>
      <c r="E230" s="9"/>
      <c r="F230" s="9" t="s">
        <v>43</v>
      </c>
      <c r="G230" s="9" t="s">
        <v>198</v>
      </c>
      <c r="H230" s="8">
        <v>5</v>
      </c>
      <c r="I230" s="8">
        <v>5</v>
      </c>
      <c r="J230" s="8" t="s">
        <v>563</v>
      </c>
      <c r="K230" s="8" t="s">
        <v>646</v>
      </c>
      <c r="L230" s="8">
        <v>13</v>
      </c>
      <c r="M230" s="8">
        <v>2025</v>
      </c>
      <c r="N230" s="8"/>
      <c r="O230" s="9" t="s">
        <v>751</v>
      </c>
      <c r="P230" s="8"/>
      <c r="Q230" s="8"/>
      <c r="R230" s="9" t="s">
        <v>55</v>
      </c>
      <c r="S230" s="8" t="s">
        <v>32</v>
      </c>
      <c r="T230" s="9" t="s">
        <v>33</v>
      </c>
      <c r="U230" s="8" t="s">
        <v>34</v>
      </c>
      <c r="V230" s="8" t="s">
        <v>606</v>
      </c>
    </row>
    <row r="231" spans="1:22" ht="15" customHeight="1">
      <c r="A231" s="8" t="s">
        <v>752</v>
      </c>
      <c r="B231" s="9" t="s">
        <v>73</v>
      </c>
      <c r="C231" s="9" t="s">
        <v>23</v>
      </c>
      <c r="D231" s="9" t="s">
        <v>306</v>
      </c>
      <c r="E231" s="9"/>
      <c r="F231" s="9" t="s">
        <v>318</v>
      </c>
      <c r="G231" s="9" t="s">
        <v>198</v>
      </c>
      <c r="H231" s="8">
        <v>5</v>
      </c>
      <c r="I231" s="8">
        <v>5</v>
      </c>
      <c r="J231" s="8" t="s">
        <v>563</v>
      </c>
      <c r="K231" s="8" t="s">
        <v>646</v>
      </c>
      <c r="L231" s="8">
        <v>13</v>
      </c>
      <c r="M231" s="8">
        <v>2025</v>
      </c>
      <c r="N231" s="8"/>
      <c r="O231" s="9" t="s">
        <v>753</v>
      </c>
      <c r="P231" s="8"/>
      <c r="Q231" s="8"/>
      <c r="R231" s="9" t="s">
        <v>55</v>
      </c>
      <c r="S231" s="8" t="s">
        <v>32</v>
      </c>
      <c r="T231" s="9" t="s">
        <v>33</v>
      </c>
      <c r="U231" s="8" t="s">
        <v>34</v>
      </c>
      <c r="V231" s="8" t="s">
        <v>606</v>
      </c>
    </row>
    <row r="232" spans="1:22" ht="15" customHeight="1">
      <c r="A232" s="8" t="s">
        <v>754</v>
      </c>
      <c r="B232" s="9" t="s">
        <v>73</v>
      </c>
      <c r="C232" s="9" t="s">
        <v>23</v>
      </c>
      <c r="D232" s="9" t="s">
        <v>306</v>
      </c>
      <c r="E232" s="9"/>
      <c r="F232" s="9" t="s">
        <v>321</v>
      </c>
      <c r="G232" s="9" t="s">
        <v>198</v>
      </c>
      <c r="H232" s="8">
        <v>5</v>
      </c>
      <c r="I232" s="8">
        <v>5</v>
      </c>
      <c r="J232" s="8" t="s">
        <v>563</v>
      </c>
      <c r="K232" s="8" t="s">
        <v>646</v>
      </c>
      <c r="L232" s="8">
        <v>13</v>
      </c>
      <c r="M232" s="8">
        <v>2025</v>
      </c>
      <c r="N232" s="8"/>
      <c r="O232" s="9" t="s">
        <v>755</v>
      </c>
      <c r="P232" s="8"/>
      <c r="Q232" s="8"/>
      <c r="R232" s="9" t="s">
        <v>55</v>
      </c>
      <c r="S232" s="8" t="s">
        <v>32</v>
      </c>
      <c r="T232" s="9" t="s">
        <v>33</v>
      </c>
      <c r="U232" s="8" t="s">
        <v>34</v>
      </c>
      <c r="V232" s="8" t="s">
        <v>606</v>
      </c>
    </row>
    <row r="233" spans="1:22" ht="15" customHeight="1">
      <c r="A233" s="8" t="s">
        <v>756</v>
      </c>
      <c r="B233" s="9" t="s">
        <v>73</v>
      </c>
      <c r="C233" s="9" t="s">
        <v>23</v>
      </c>
      <c r="D233" s="9" t="s">
        <v>306</v>
      </c>
      <c r="E233" s="9"/>
      <c r="F233" s="9" t="s">
        <v>757</v>
      </c>
      <c r="G233" s="9" t="s">
        <v>198</v>
      </c>
      <c r="H233" s="8">
        <v>5</v>
      </c>
      <c r="I233" s="8">
        <v>5</v>
      </c>
      <c r="J233" s="8" t="s">
        <v>563</v>
      </c>
      <c r="K233" s="8" t="s">
        <v>646</v>
      </c>
      <c r="L233" s="8">
        <v>13</v>
      </c>
      <c r="M233" s="8">
        <v>2025</v>
      </c>
      <c r="N233" s="8"/>
      <c r="O233" s="9" t="s">
        <v>758</v>
      </c>
      <c r="P233" s="8"/>
      <c r="Q233" s="8"/>
      <c r="R233" s="9" t="s">
        <v>55</v>
      </c>
      <c r="S233" s="8" t="s">
        <v>32</v>
      </c>
      <c r="T233" s="9" t="s">
        <v>33</v>
      </c>
      <c r="U233" s="8" t="s">
        <v>34</v>
      </c>
      <c r="V233" s="8" t="s">
        <v>606</v>
      </c>
    </row>
    <row r="234" spans="1:22" ht="15" customHeight="1">
      <c r="A234" s="8" t="s">
        <v>759</v>
      </c>
      <c r="B234" s="9" t="s">
        <v>73</v>
      </c>
      <c r="C234" s="9" t="s">
        <v>23</v>
      </c>
      <c r="D234" s="9" t="s">
        <v>306</v>
      </c>
      <c r="E234" s="9"/>
      <c r="F234" s="9" t="s">
        <v>760</v>
      </c>
      <c r="G234" s="9" t="s">
        <v>198</v>
      </c>
      <c r="H234" s="8">
        <v>3</v>
      </c>
      <c r="I234" s="8">
        <v>3</v>
      </c>
      <c r="J234" s="8" t="s">
        <v>563</v>
      </c>
      <c r="K234" s="8" t="s">
        <v>646</v>
      </c>
      <c r="L234" s="8">
        <v>13</v>
      </c>
      <c r="M234" s="8">
        <v>2025</v>
      </c>
      <c r="N234" s="8"/>
      <c r="O234" s="9" t="s">
        <v>761</v>
      </c>
      <c r="P234" s="8"/>
      <c r="Q234" s="8"/>
      <c r="R234" s="9" t="s">
        <v>55</v>
      </c>
      <c r="S234" s="8" t="s">
        <v>32</v>
      </c>
      <c r="T234" s="9" t="s">
        <v>33</v>
      </c>
      <c r="U234" s="8" t="s">
        <v>34</v>
      </c>
      <c r="V234" s="8" t="s">
        <v>606</v>
      </c>
    </row>
    <row r="235" spans="1:22" ht="15" customHeight="1">
      <c r="A235" s="8" t="s">
        <v>762</v>
      </c>
      <c r="B235" s="9" t="s">
        <v>73</v>
      </c>
      <c r="C235" s="9" t="s">
        <v>23</v>
      </c>
      <c r="D235" s="9" t="s">
        <v>763</v>
      </c>
      <c r="E235" s="9"/>
      <c r="F235" s="9"/>
      <c r="G235" s="9" t="s">
        <v>210</v>
      </c>
      <c r="H235" s="8">
        <v>5</v>
      </c>
      <c r="I235" s="8">
        <v>5</v>
      </c>
      <c r="J235" s="8" t="s">
        <v>563</v>
      </c>
      <c r="K235" s="8" t="s">
        <v>646</v>
      </c>
      <c r="L235" s="8">
        <v>13</v>
      </c>
      <c r="M235" s="8">
        <v>2025</v>
      </c>
      <c r="N235" s="8"/>
      <c r="O235" s="9" t="s">
        <v>763</v>
      </c>
      <c r="P235" s="8"/>
      <c r="Q235" s="8"/>
      <c r="R235" s="9" t="s">
        <v>55</v>
      </c>
      <c r="S235" s="8" t="s">
        <v>32</v>
      </c>
      <c r="T235" s="9" t="s">
        <v>33</v>
      </c>
      <c r="U235" s="8" t="s">
        <v>34</v>
      </c>
      <c r="V235" s="8" t="s">
        <v>604</v>
      </c>
    </row>
    <row r="236" spans="1:22" ht="15" customHeight="1">
      <c r="A236" s="8" t="s">
        <v>764</v>
      </c>
      <c r="B236" s="9" t="s">
        <v>73</v>
      </c>
      <c r="C236" s="9" t="s">
        <v>23</v>
      </c>
      <c r="D236" s="9" t="s">
        <v>81</v>
      </c>
      <c r="E236" s="9"/>
      <c r="F236" s="9" t="s">
        <v>765</v>
      </c>
      <c r="G236" s="9" t="s">
        <v>26</v>
      </c>
      <c r="H236" s="8">
        <v>4</v>
      </c>
      <c r="I236" s="8">
        <v>4</v>
      </c>
      <c r="J236" s="8" t="s">
        <v>563</v>
      </c>
      <c r="K236" s="8" t="s">
        <v>646</v>
      </c>
      <c r="L236" s="8">
        <v>13</v>
      </c>
      <c r="M236" s="8">
        <v>2025</v>
      </c>
      <c r="N236" s="8"/>
      <c r="O236" s="9" t="s">
        <v>766</v>
      </c>
      <c r="P236" s="8"/>
      <c r="Q236" s="8"/>
      <c r="R236" s="9" t="s">
        <v>55</v>
      </c>
      <c r="S236" s="8" t="s">
        <v>32</v>
      </c>
      <c r="T236" s="9" t="s">
        <v>33</v>
      </c>
      <c r="U236" s="8" t="s">
        <v>34</v>
      </c>
      <c r="V236" s="8" t="s">
        <v>604</v>
      </c>
    </row>
    <row r="237" spans="1:22" ht="15" customHeight="1">
      <c r="A237" s="8" t="s">
        <v>767</v>
      </c>
      <c r="B237" s="9" t="s">
        <v>73</v>
      </c>
      <c r="C237" s="9" t="s">
        <v>23</v>
      </c>
      <c r="D237" s="9" t="s">
        <v>81</v>
      </c>
      <c r="E237" s="9"/>
      <c r="F237" s="9" t="s">
        <v>768</v>
      </c>
      <c r="G237" s="9" t="s">
        <v>26</v>
      </c>
      <c r="H237" s="8">
        <v>3</v>
      </c>
      <c r="I237" s="8">
        <v>3</v>
      </c>
      <c r="J237" s="8" t="s">
        <v>563</v>
      </c>
      <c r="K237" s="8" t="s">
        <v>646</v>
      </c>
      <c r="L237" s="8">
        <v>13</v>
      </c>
      <c r="M237" s="8">
        <v>2025</v>
      </c>
      <c r="N237" s="8"/>
      <c r="O237" s="9" t="s">
        <v>769</v>
      </c>
      <c r="P237" s="8"/>
      <c r="Q237" s="8"/>
      <c r="R237" s="9" t="s">
        <v>55</v>
      </c>
      <c r="S237" s="8" t="s">
        <v>32</v>
      </c>
      <c r="T237" s="9" t="s">
        <v>33</v>
      </c>
      <c r="U237" s="8" t="s">
        <v>34</v>
      </c>
      <c r="V237" s="8" t="s">
        <v>606</v>
      </c>
    </row>
    <row r="238" spans="1:22" ht="15" customHeight="1">
      <c r="A238" s="8" t="s">
        <v>770</v>
      </c>
      <c r="B238" s="9" t="s">
        <v>73</v>
      </c>
      <c r="C238" s="9" t="s">
        <v>23</v>
      </c>
      <c r="D238" s="9" t="s">
        <v>48</v>
      </c>
      <c r="E238" s="9"/>
      <c r="F238" s="9" t="s">
        <v>771</v>
      </c>
      <c r="G238" s="8" t="s">
        <v>50</v>
      </c>
      <c r="H238" s="8">
        <v>10</v>
      </c>
      <c r="I238" s="8">
        <v>10</v>
      </c>
      <c r="J238" s="8" t="s">
        <v>563</v>
      </c>
      <c r="K238" s="8" t="s">
        <v>646</v>
      </c>
      <c r="L238" s="8">
        <v>13</v>
      </c>
      <c r="M238" s="8">
        <v>2025</v>
      </c>
      <c r="N238" s="8"/>
      <c r="O238" s="9" t="s">
        <v>772</v>
      </c>
      <c r="P238" s="8"/>
      <c r="Q238" s="8"/>
      <c r="R238" s="9" t="s">
        <v>31</v>
      </c>
      <c r="S238" s="8" t="s">
        <v>32</v>
      </c>
      <c r="T238" s="9" t="s">
        <v>33</v>
      </c>
      <c r="U238" s="8" t="s">
        <v>34</v>
      </c>
      <c r="V238" s="8" t="s">
        <v>604</v>
      </c>
    </row>
    <row r="239" spans="1:22" ht="15" customHeight="1">
      <c r="A239" s="8" t="s">
        <v>773</v>
      </c>
      <c r="B239" s="9" t="s">
        <v>73</v>
      </c>
      <c r="C239" s="9" t="s">
        <v>23</v>
      </c>
      <c r="D239" s="9" t="s">
        <v>48</v>
      </c>
      <c r="E239" s="9"/>
      <c r="F239" s="9" t="s">
        <v>774</v>
      </c>
      <c r="G239" s="8" t="s">
        <v>50</v>
      </c>
      <c r="H239" s="8">
        <v>5</v>
      </c>
      <c r="I239" s="8">
        <v>5</v>
      </c>
      <c r="J239" s="8" t="s">
        <v>563</v>
      </c>
      <c r="K239" s="8" t="s">
        <v>646</v>
      </c>
      <c r="L239" s="8">
        <v>13</v>
      </c>
      <c r="M239" s="8">
        <v>2025</v>
      </c>
      <c r="N239" s="8"/>
      <c r="O239" s="9" t="s">
        <v>775</v>
      </c>
      <c r="P239" s="8"/>
      <c r="Q239" s="8"/>
      <c r="R239" s="9" t="s">
        <v>55</v>
      </c>
      <c r="S239" s="8" t="s">
        <v>32</v>
      </c>
      <c r="T239" s="9" t="s">
        <v>33</v>
      </c>
      <c r="U239" s="8" t="s">
        <v>34</v>
      </c>
      <c r="V239" s="8" t="s">
        <v>604</v>
      </c>
    </row>
    <row r="240" spans="1:22" ht="15" customHeight="1">
      <c r="A240" s="8" t="s">
        <v>776</v>
      </c>
      <c r="B240" s="9" t="s">
        <v>73</v>
      </c>
      <c r="C240" s="9" t="s">
        <v>23</v>
      </c>
      <c r="D240" s="9" t="s">
        <v>48</v>
      </c>
      <c r="E240" s="9"/>
      <c r="F240" s="9" t="s">
        <v>768</v>
      </c>
      <c r="G240" s="8" t="s">
        <v>50</v>
      </c>
      <c r="H240" s="8">
        <v>10</v>
      </c>
      <c r="I240" s="8">
        <v>10</v>
      </c>
      <c r="J240" s="8" t="s">
        <v>563</v>
      </c>
      <c r="K240" s="8" t="s">
        <v>646</v>
      </c>
      <c r="L240" s="8">
        <v>13</v>
      </c>
      <c r="M240" s="8">
        <v>2025</v>
      </c>
      <c r="N240" s="8"/>
      <c r="O240" s="9" t="s">
        <v>777</v>
      </c>
      <c r="P240" s="8"/>
      <c r="Q240" s="8"/>
      <c r="R240" s="9" t="s">
        <v>31</v>
      </c>
      <c r="S240" s="8" t="s">
        <v>32</v>
      </c>
      <c r="T240" s="9" t="s">
        <v>33</v>
      </c>
      <c r="U240" s="8" t="s">
        <v>34</v>
      </c>
      <c r="V240" s="8" t="s">
        <v>778</v>
      </c>
    </row>
    <row r="241" spans="1:22" ht="15" customHeight="1">
      <c r="A241" s="8" t="s">
        <v>779</v>
      </c>
      <c r="B241" s="9" t="s">
        <v>73</v>
      </c>
      <c r="C241" s="9" t="s">
        <v>23</v>
      </c>
      <c r="D241" s="9" t="s">
        <v>75</v>
      </c>
      <c r="E241" s="9"/>
      <c r="F241" s="9" t="s">
        <v>771</v>
      </c>
      <c r="G241" s="9" t="s">
        <v>26</v>
      </c>
      <c r="H241" s="8">
        <v>10</v>
      </c>
      <c r="I241" s="8">
        <v>10</v>
      </c>
      <c r="J241" s="8" t="s">
        <v>563</v>
      </c>
      <c r="K241" s="8" t="s">
        <v>646</v>
      </c>
      <c r="L241" s="8">
        <v>13</v>
      </c>
      <c r="M241" s="8">
        <v>2025</v>
      </c>
      <c r="N241" s="8"/>
      <c r="O241" s="9" t="s">
        <v>780</v>
      </c>
      <c r="P241" s="8"/>
      <c r="Q241" s="8"/>
      <c r="R241" s="9" t="s">
        <v>31</v>
      </c>
      <c r="S241" s="8" t="s">
        <v>32</v>
      </c>
      <c r="T241" s="9" t="s">
        <v>33</v>
      </c>
      <c r="U241" s="8" t="s">
        <v>34</v>
      </c>
      <c r="V241" s="8" t="s">
        <v>604</v>
      </c>
    </row>
    <row r="242" spans="1:22" ht="15" customHeight="1">
      <c r="A242" s="8" t="s">
        <v>781</v>
      </c>
      <c r="B242" s="9" t="s">
        <v>73</v>
      </c>
      <c r="C242" s="9" t="s">
        <v>23</v>
      </c>
      <c r="D242" s="9" t="s">
        <v>75</v>
      </c>
      <c r="E242" s="9"/>
      <c r="F242" s="9" t="s">
        <v>774</v>
      </c>
      <c r="G242" s="9" t="s">
        <v>26</v>
      </c>
      <c r="H242" s="8">
        <v>5</v>
      </c>
      <c r="I242" s="8">
        <v>5</v>
      </c>
      <c r="J242" s="8" t="s">
        <v>563</v>
      </c>
      <c r="K242" s="8" t="s">
        <v>646</v>
      </c>
      <c r="L242" s="8">
        <v>13</v>
      </c>
      <c r="M242" s="8">
        <v>2025</v>
      </c>
      <c r="N242" s="8"/>
      <c r="O242" s="9" t="s">
        <v>782</v>
      </c>
      <c r="P242" s="8"/>
      <c r="Q242" s="8"/>
      <c r="R242" s="9" t="s">
        <v>55</v>
      </c>
      <c r="S242" s="8" t="s">
        <v>32</v>
      </c>
      <c r="T242" s="9" t="s">
        <v>33</v>
      </c>
      <c r="U242" s="8" t="s">
        <v>34</v>
      </c>
      <c r="V242" s="8" t="s">
        <v>604</v>
      </c>
    </row>
    <row r="243" spans="1:22" ht="15" customHeight="1">
      <c r="A243" s="8" t="s">
        <v>783</v>
      </c>
      <c r="B243" s="9" t="s">
        <v>73</v>
      </c>
      <c r="C243" s="9" t="s">
        <v>23</v>
      </c>
      <c r="D243" s="9" t="s">
        <v>75</v>
      </c>
      <c r="E243" s="9"/>
      <c r="F243" s="9" t="s">
        <v>768</v>
      </c>
      <c r="G243" s="9" t="s">
        <v>26</v>
      </c>
      <c r="H243" s="8">
        <v>10</v>
      </c>
      <c r="I243" s="8">
        <v>10</v>
      </c>
      <c r="J243" s="8" t="s">
        <v>563</v>
      </c>
      <c r="K243" s="8" t="s">
        <v>646</v>
      </c>
      <c r="L243" s="8">
        <v>13</v>
      </c>
      <c r="M243" s="8">
        <v>2025</v>
      </c>
      <c r="N243" s="8"/>
      <c r="O243" s="9" t="s">
        <v>784</v>
      </c>
      <c r="P243" s="8"/>
      <c r="Q243" s="8"/>
      <c r="R243" s="9" t="s">
        <v>31</v>
      </c>
      <c r="S243" s="8" t="s">
        <v>32</v>
      </c>
      <c r="T243" s="9" t="s">
        <v>33</v>
      </c>
      <c r="U243" s="8" t="s">
        <v>34</v>
      </c>
      <c r="V243" s="8" t="s">
        <v>606</v>
      </c>
    </row>
    <row r="244" spans="1:22" ht="15" customHeight="1">
      <c r="A244" s="8" t="s">
        <v>785</v>
      </c>
      <c r="B244" s="9" t="s">
        <v>73</v>
      </c>
      <c r="C244" s="9" t="s">
        <v>23</v>
      </c>
      <c r="D244" s="9" t="s">
        <v>786</v>
      </c>
      <c r="E244" s="9"/>
      <c r="F244" s="9" t="s">
        <v>787</v>
      </c>
      <c r="G244" s="8" t="s">
        <v>153</v>
      </c>
      <c r="H244" s="8">
        <v>1</v>
      </c>
      <c r="I244" s="8">
        <v>1</v>
      </c>
      <c r="J244" s="8" t="s">
        <v>563</v>
      </c>
      <c r="K244" s="8" t="s">
        <v>788</v>
      </c>
      <c r="L244" s="8">
        <v>14</v>
      </c>
      <c r="M244" s="8">
        <v>2025</v>
      </c>
      <c r="N244" s="8"/>
      <c r="O244" s="9" t="s">
        <v>789</v>
      </c>
      <c r="P244" s="8"/>
      <c r="Q244" s="8"/>
      <c r="R244" s="9" t="s">
        <v>55</v>
      </c>
      <c r="S244" s="8" t="s">
        <v>32</v>
      </c>
      <c r="T244" s="9" t="s">
        <v>33</v>
      </c>
      <c r="U244" s="8" t="s">
        <v>34</v>
      </c>
      <c r="V244" s="8" t="s">
        <v>790</v>
      </c>
    </row>
    <row r="245" spans="1:22" ht="15" customHeight="1">
      <c r="A245" s="8" t="s">
        <v>791</v>
      </c>
      <c r="B245" s="9" t="s">
        <v>73</v>
      </c>
      <c r="C245" s="9" t="s">
        <v>23</v>
      </c>
      <c r="D245" s="9" t="s">
        <v>792</v>
      </c>
      <c r="E245" s="9"/>
      <c r="F245" s="9"/>
      <c r="G245" s="9" t="s">
        <v>198</v>
      </c>
      <c r="H245" s="8">
        <v>10</v>
      </c>
      <c r="I245" s="8">
        <v>10</v>
      </c>
      <c r="J245" s="8" t="s">
        <v>563</v>
      </c>
      <c r="K245" s="8" t="s">
        <v>788</v>
      </c>
      <c r="L245" s="8">
        <v>14</v>
      </c>
      <c r="M245" s="8">
        <v>2025</v>
      </c>
      <c r="N245" s="8"/>
      <c r="O245" s="9" t="s">
        <v>792</v>
      </c>
      <c r="P245" s="8"/>
      <c r="Q245" s="8"/>
      <c r="R245" s="9" t="s">
        <v>31</v>
      </c>
      <c r="S245" s="8" t="s">
        <v>32</v>
      </c>
      <c r="T245" s="9" t="s">
        <v>33</v>
      </c>
      <c r="U245" s="8" t="s">
        <v>34</v>
      </c>
      <c r="V245" s="8" t="s">
        <v>604</v>
      </c>
    </row>
    <row r="246" spans="1:22" ht="15" customHeight="1">
      <c r="A246" s="8" t="s">
        <v>793</v>
      </c>
      <c r="B246" s="9" t="s">
        <v>73</v>
      </c>
      <c r="C246" s="9" t="s">
        <v>23</v>
      </c>
      <c r="D246" s="9" t="s">
        <v>794</v>
      </c>
      <c r="E246" s="9"/>
      <c r="F246" s="9" t="s">
        <v>771</v>
      </c>
      <c r="G246" s="8" t="s">
        <v>50</v>
      </c>
      <c r="H246" s="8">
        <v>15</v>
      </c>
      <c r="I246" s="8">
        <v>15</v>
      </c>
      <c r="J246" s="8" t="s">
        <v>563</v>
      </c>
      <c r="K246" s="8" t="s">
        <v>788</v>
      </c>
      <c r="L246" s="8">
        <v>14</v>
      </c>
      <c r="M246" s="8">
        <v>2025</v>
      </c>
      <c r="N246" s="8"/>
      <c r="O246" s="9" t="s">
        <v>795</v>
      </c>
      <c r="P246" s="8"/>
      <c r="Q246" s="8"/>
      <c r="R246" s="9" t="s">
        <v>31</v>
      </c>
      <c r="S246" s="8" t="s">
        <v>32</v>
      </c>
      <c r="T246" s="9" t="s">
        <v>33</v>
      </c>
      <c r="U246" s="8" t="s">
        <v>34</v>
      </c>
      <c r="V246" s="8" t="s">
        <v>604</v>
      </c>
    </row>
    <row r="247" spans="1:22" ht="15" customHeight="1">
      <c r="A247" s="8" t="s">
        <v>796</v>
      </c>
      <c r="B247" s="9" t="s">
        <v>73</v>
      </c>
      <c r="C247" s="9" t="s">
        <v>23</v>
      </c>
      <c r="D247" s="9" t="s">
        <v>794</v>
      </c>
      <c r="E247" s="9"/>
      <c r="F247" s="9" t="s">
        <v>774</v>
      </c>
      <c r="G247" s="8" t="s">
        <v>50</v>
      </c>
      <c r="H247" s="8">
        <v>10</v>
      </c>
      <c r="I247" s="8">
        <v>10</v>
      </c>
      <c r="J247" s="8" t="s">
        <v>563</v>
      </c>
      <c r="K247" s="8" t="s">
        <v>788</v>
      </c>
      <c r="L247" s="8">
        <v>14</v>
      </c>
      <c r="M247" s="8">
        <v>2025</v>
      </c>
      <c r="N247" s="8"/>
      <c r="O247" s="9" t="s">
        <v>797</v>
      </c>
      <c r="P247" s="8"/>
      <c r="Q247" s="8"/>
      <c r="R247" s="9" t="s">
        <v>31</v>
      </c>
      <c r="S247" s="8" t="s">
        <v>32</v>
      </c>
      <c r="T247" s="9" t="s">
        <v>33</v>
      </c>
      <c r="U247" s="8" t="s">
        <v>34</v>
      </c>
      <c r="V247" s="8" t="s">
        <v>604</v>
      </c>
    </row>
    <row r="248" spans="1:22" ht="15" customHeight="1">
      <c r="A248" s="8" t="s">
        <v>798</v>
      </c>
      <c r="B248" s="9" t="s">
        <v>73</v>
      </c>
      <c r="C248" s="9" t="s">
        <v>23</v>
      </c>
      <c r="D248" s="9" t="s">
        <v>799</v>
      </c>
      <c r="E248" s="9"/>
      <c r="F248" s="9" t="s">
        <v>771</v>
      </c>
      <c r="G248" s="8" t="s">
        <v>50</v>
      </c>
      <c r="H248" s="8">
        <v>15</v>
      </c>
      <c r="I248" s="8">
        <v>15</v>
      </c>
      <c r="J248" s="8" t="s">
        <v>563</v>
      </c>
      <c r="K248" s="8" t="s">
        <v>788</v>
      </c>
      <c r="L248" s="8">
        <v>14</v>
      </c>
      <c r="M248" s="8">
        <v>2025</v>
      </c>
      <c r="N248" s="8"/>
      <c r="O248" s="9" t="s">
        <v>800</v>
      </c>
      <c r="P248" s="8"/>
      <c r="Q248" s="8"/>
      <c r="R248" s="9" t="s">
        <v>31</v>
      </c>
      <c r="S248" s="8" t="s">
        <v>32</v>
      </c>
      <c r="T248" s="9" t="s">
        <v>33</v>
      </c>
      <c r="U248" s="8" t="s">
        <v>34</v>
      </c>
      <c r="V248" s="8" t="s">
        <v>604</v>
      </c>
    </row>
    <row r="249" spans="1:22" ht="15" customHeight="1">
      <c r="A249" s="8" t="s">
        <v>801</v>
      </c>
      <c r="B249" s="9" t="s">
        <v>73</v>
      </c>
      <c r="C249" s="9" t="s">
        <v>23</v>
      </c>
      <c r="D249" s="9" t="s">
        <v>802</v>
      </c>
      <c r="E249" s="9"/>
      <c r="F249" s="9"/>
      <c r="G249" s="9" t="s">
        <v>198</v>
      </c>
      <c r="H249" s="8">
        <v>5</v>
      </c>
      <c r="I249" s="8">
        <v>5</v>
      </c>
      <c r="J249" s="8" t="s">
        <v>563</v>
      </c>
      <c r="K249" s="8" t="s">
        <v>788</v>
      </c>
      <c r="L249" s="8">
        <v>14</v>
      </c>
      <c r="M249" s="8">
        <v>2025</v>
      </c>
      <c r="N249" s="8"/>
      <c r="O249" s="9" t="s">
        <v>802</v>
      </c>
      <c r="P249" s="8"/>
      <c r="Q249" s="8"/>
      <c r="R249" s="9" t="s">
        <v>55</v>
      </c>
      <c r="S249" s="8" t="s">
        <v>32</v>
      </c>
      <c r="T249" s="9" t="s">
        <v>33</v>
      </c>
      <c r="U249" s="8" t="s">
        <v>34</v>
      </c>
      <c r="V249" s="8" t="s">
        <v>604</v>
      </c>
    </row>
    <row r="250" spans="1:22" ht="15" customHeight="1">
      <c r="A250" s="8" t="s">
        <v>803</v>
      </c>
      <c r="B250" s="9" t="s">
        <v>73</v>
      </c>
      <c r="C250" s="9" t="s">
        <v>23</v>
      </c>
      <c r="D250" s="9" t="s">
        <v>804</v>
      </c>
      <c r="E250" s="9"/>
      <c r="F250" s="9"/>
      <c r="G250" s="9" t="s">
        <v>198</v>
      </c>
      <c r="H250" s="8">
        <v>10</v>
      </c>
      <c r="I250" s="8">
        <v>10</v>
      </c>
      <c r="J250" s="8" t="s">
        <v>563</v>
      </c>
      <c r="K250" s="8" t="s">
        <v>788</v>
      </c>
      <c r="L250" s="8">
        <v>14</v>
      </c>
      <c r="M250" s="8">
        <v>2025</v>
      </c>
      <c r="N250" s="8"/>
      <c r="O250" s="9" t="s">
        <v>804</v>
      </c>
      <c r="P250" s="8"/>
      <c r="Q250" s="8"/>
      <c r="R250" s="9" t="s">
        <v>31</v>
      </c>
      <c r="S250" s="8" t="s">
        <v>32</v>
      </c>
      <c r="T250" s="9" t="s">
        <v>33</v>
      </c>
      <c r="U250" s="8" t="s">
        <v>34</v>
      </c>
      <c r="V250" s="8" t="s">
        <v>604</v>
      </c>
    </row>
    <row r="251" spans="1:22" ht="15" customHeight="1">
      <c r="A251" s="8" t="s">
        <v>805</v>
      </c>
      <c r="B251" s="9" t="s">
        <v>73</v>
      </c>
      <c r="C251" s="9" t="s">
        <v>23</v>
      </c>
      <c r="D251" s="9" t="s">
        <v>806</v>
      </c>
      <c r="E251" s="9"/>
      <c r="F251" s="9" t="s">
        <v>807</v>
      </c>
      <c r="G251" s="9" t="s">
        <v>198</v>
      </c>
      <c r="H251" s="8">
        <v>10</v>
      </c>
      <c r="I251" s="8">
        <v>10</v>
      </c>
      <c r="J251" s="8" t="s">
        <v>563</v>
      </c>
      <c r="K251" s="8" t="s">
        <v>788</v>
      </c>
      <c r="L251" s="8">
        <v>14</v>
      </c>
      <c r="M251" s="8">
        <v>2025</v>
      </c>
      <c r="N251" s="8"/>
      <c r="O251" s="9" t="s">
        <v>808</v>
      </c>
      <c r="P251" s="8"/>
      <c r="Q251" s="8"/>
      <c r="R251" s="9" t="s">
        <v>31</v>
      </c>
      <c r="S251" s="8" t="s">
        <v>32</v>
      </c>
      <c r="T251" s="9" t="s">
        <v>33</v>
      </c>
      <c r="U251" s="8" t="s">
        <v>34</v>
      </c>
      <c r="V251" s="8" t="s">
        <v>604</v>
      </c>
    </row>
    <row r="252" spans="1:22" ht="15" customHeight="1">
      <c r="A252" s="8" t="s">
        <v>809</v>
      </c>
      <c r="B252" s="9" t="s">
        <v>73</v>
      </c>
      <c r="C252" s="9" t="s">
        <v>23</v>
      </c>
      <c r="D252" s="9" t="s">
        <v>806</v>
      </c>
      <c r="E252" s="9"/>
      <c r="F252" s="9" t="s">
        <v>810</v>
      </c>
      <c r="G252" s="9" t="s">
        <v>198</v>
      </c>
      <c r="H252" s="8">
        <v>10</v>
      </c>
      <c r="I252" s="8">
        <v>10</v>
      </c>
      <c r="J252" s="8" t="s">
        <v>563</v>
      </c>
      <c r="K252" s="8" t="s">
        <v>788</v>
      </c>
      <c r="L252" s="8">
        <v>14</v>
      </c>
      <c r="M252" s="8">
        <v>2025</v>
      </c>
      <c r="N252" s="8"/>
      <c r="O252" s="9" t="s">
        <v>811</v>
      </c>
      <c r="P252" s="8"/>
      <c r="Q252" s="8"/>
      <c r="R252" s="9" t="s">
        <v>31</v>
      </c>
      <c r="S252" s="8" t="s">
        <v>32</v>
      </c>
      <c r="T252" s="9" t="s">
        <v>33</v>
      </c>
      <c r="U252" s="8" t="s">
        <v>34</v>
      </c>
      <c r="V252" s="8" t="s">
        <v>604</v>
      </c>
    </row>
    <row r="253" spans="1:22" ht="15" customHeight="1">
      <c r="A253" s="8" t="s">
        <v>812</v>
      </c>
      <c r="B253" s="9" t="s">
        <v>73</v>
      </c>
      <c r="C253" s="9" t="s">
        <v>23</v>
      </c>
      <c r="D253" s="9" t="s">
        <v>24</v>
      </c>
      <c r="E253" s="9"/>
      <c r="F253" s="9" t="s">
        <v>813</v>
      </c>
      <c r="G253" s="9" t="s">
        <v>26</v>
      </c>
      <c r="H253" s="8">
        <v>1</v>
      </c>
      <c r="I253" s="8">
        <v>1</v>
      </c>
      <c r="J253" s="8" t="s">
        <v>563</v>
      </c>
      <c r="K253" s="8" t="s">
        <v>788</v>
      </c>
      <c r="L253" s="8">
        <v>14</v>
      </c>
      <c r="M253" s="8">
        <v>2025</v>
      </c>
      <c r="N253" s="8"/>
      <c r="O253" s="9" t="s">
        <v>814</v>
      </c>
      <c r="P253" s="8"/>
      <c r="Q253" s="8"/>
      <c r="R253" s="9" t="s">
        <v>55</v>
      </c>
      <c r="S253" s="8" t="s">
        <v>32</v>
      </c>
      <c r="T253" s="9" t="s">
        <v>33</v>
      </c>
      <c r="U253" s="8" t="s">
        <v>34</v>
      </c>
      <c r="V253" s="8" t="s">
        <v>606</v>
      </c>
    </row>
    <row r="254" spans="1:22" ht="15" customHeight="1">
      <c r="A254" s="8" t="s">
        <v>815</v>
      </c>
      <c r="B254" s="9" t="s">
        <v>73</v>
      </c>
      <c r="C254" s="9" t="s">
        <v>23</v>
      </c>
      <c r="D254" s="9" t="s">
        <v>24</v>
      </c>
      <c r="E254" s="9"/>
      <c r="F254" s="9" t="s">
        <v>816</v>
      </c>
      <c r="G254" s="9" t="s">
        <v>26</v>
      </c>
      <c r="H254" s="8">
        <v>2</v>
      </c>
      <c r="I254" s="8">
        <v>2</v>
      </c>
      <c r="J254" s="8" t="s">
        <v>563</v>
      </c>
      <c r="K254" s="8" t="s">
        <v>788</v>
      </c>
      <c r="L254" s="8">
        <v>14</v>
      </c>
      <c r="M254" s="8">
        <v>2025</v>
      </c>
      <c r="N254" s="8"/>
      <c r="O254" s="9" t="s">
        <v>817</v>
      </c>
      <c r="P254" s="8"/>
      <c r="Q254" s="8"/>
      <c r="R254" s="9" t="s">
        <v>55</v>
      </c>
      <c r="S254" s="8" t="s">
        <v>32</v>
      </c>
      <c r="T254" s="9" t="s">
        <v>33</v>
      </c>
      <c r="U254" s="8" t="s">
        <v>34</v>
      </c>
      <c r="V254" s="8" t="s">
        <v>606</v>
      </c>
    </row>
    <row r="255" spans="1:22" ht="15" customHeight="1">
      <c r="A255" s="8" t="s">
        <v>818</v>
      </c>
      <c r="B255" s="9" t="s">
        <v>73</v>
      </c>
      <c r="C255" s="9" t="s">
        <v>23</v>
      </c>
      <c r="D255" s="9" t="s">
        <v>819</v>
      </c>
      <c r="E255" s="9"/>
      <c r="F255" s="9" t="s">
        <v>205</v>
      </c>
      <c r="G255" s="8" t="s">
        <v>203</v>
      </c>
      <c r="H255" s="8">
        <v>5</v>
      </c>
      <c r="I255" s="8">
        <v>5</v>
      </c>
      <c r="J255" s="8" t="s">
        <v>563</v>
      </c>
      <c r="K255" s="8" t="s">
        <v>788</v>
      </c>
      <c r="L255" s="8">
        <v>14</v>
      </c>
      <c r="M255" s="8">
        <v>2025</v>
      </c>
      <c r="N255" s="8"/>
      <c r="O255" s="9" t="s">
        <v>820</v>
      </c>
      <c r="P255" s="8"/>
      <c r="Q255" s="8"/>
      <c r="R255" s="9" t="s">
        <v>55</v>
      </c>
      <c r="S255" s="8" t="s">
        <v>32</v>
      </c>
      <c r="T255" s="9" t="s">
        <v>33</v>
      </c>
      <c r="U255" s="8" t="s">
        <v>34</v>
      </c>
      <c r="V255" s="8" t="s">
        <v>606</v>
      </c>
    </row>
    <row r="256" spans="1:22" ht="15" customHeight="1">
      <c r="A256" s="8" t="s">
        <v>821</v>
      </c>
      <c r="B256" s="9" t="s">
        <v>73</v>
      </c>
      <c r="C256" s="9" t="s">
        <v>23</v>
      </c>
      <c r="D256" s="9" t="s">
        <v>822</v>
      </c>
      <c r="E256" s="9"/>
      <c r="F256" s="9" t="s">
        <v>823</v>
      </c>
      <c r="G256" s="8" t="s">
        <v>44</v>
      </c>
      <c r="H256" s="8">
        <v>28</v>
      </c>
      <c r="I256" s="8">
        <v>28</v>
      </c>
      <c r="J256" s="8" t="s">
        <v>563</v>
      </c>
      <c r="K256" s="8" t="s">
        <v>788</v>
      </c>
      <c r="L256" s="8">
        <v>14</v>
      </c>
      <c r="M256" s="8">
        <v>2025</v>
      </c>
      <c r="N256" s="8"/>
      <c r="O256" s="9" t="s">
        <v>824</v>
      </c>
      <c r="P256" s="8"/>
      <c r="Q256" s="8"/>
      <c r="R256" s="9" t="s">
        <v>31</v>
      </c>
      <c r="S256" s="8" t="s">
        <v>32</v>
      </c>
      <c r="T256" s="9" t="s">
        <v>33</v>
      </c>
      <c r="U256" s="8" t="s">
        <v>34</v>
      </c>
      <c r="V256" s="8" t="s">
        <v>606</v>
      </c>
    </row>
    <row r="257" spans="1:22" ht="15" customHeight="1">
      <c r="A257" s="8" t="s">
        <v>825</v>
      </c>
      <c r="B257" s="9" t="s">
        <v>73</v>
      </c>
      <c r="C257" s="9" t="s">
        <v>23</v>
      </c>
      <c r="D257" s="9" t="s">
        <v>826</v>
      </c>
      <c r="E257" s="9"/>
      <c r="F257" s="9"/>
      <c r="G257" s="8" t="s">
        <v>44</v>
      </c>
      <c r="H257" s="8">
        <v>5</v>
      </c>
      <c r="I257" s="8">
        <v>5</v>
      </c>
      <c r="J257" s="8" t="s">
        <v>563</v>
      </c>
      <c r="K257" s="8" t="s">
        <v>788</v>
      </c>
      <c r="L257" s="8">
        <v>14</v>
      </c>
      <c r="M257" s="8">
        <v>2025</v>
      </c>
      <c r="N257" s="8"/>
      <c r="O257" s="9" t="s">
        <v>826</v>
      </c>
      <c r="P257" s="8"/>
      <c r="Q257" s="8"/>
      <c r="R257" s="9" t="s">
        <v>55</v>
      </c>
      <c r="S257" s="8" t="s">
        <v>32</v>
      </c>
      <c r="T257" s="9" t="s">
        <v>33</v>
      </c>
      <c r="U257" s="8" t="s">
        <v>34</v>
      </c>
      <c r="V257" s="8" t="s">
        <v>606</v>
      </c>
    </row>
    <row r="258" spans="1:22" ht="15" customHeight="1">
      <c r="A258" s="8" t="s">
        <v>827</v>
      </c>
      <c r="B258" s="9" t="s">
        <v>73</v>
      </c>
      <c r="C258" s="9" t="s">
        <v>23</v>
      </c>
      <c r="D258" s="9" t="s">
        <v>828</v>
      </c>
      <c r="E258" s="9"/>
      <c r="F258" s="9"/>
      <c r="G258" s="8" t="s">
        <v>153</v>
      </c>
      <c r="H258" s="8">
        <v>5</v>
      </c>
      <c r="I258" s="8">
        <v>5</v>
      </c>
      <c r="J258" s="8" t="s">
        <v>563</v>
      </c>
      <c r="K258" s="8" t="s">
        <v>788</v>
      </c>
      <c r="L258" s="8">
        <v>14</v>
      </c>
      <c r="M258" s="8">
        <v>2025</v>
      </c>
      <c r="N258" s="8"/>
      <c r="O258" s="9" t="s">
        <v>828</v>
      </c>
      <c r="P258" s="8"/>
      <c r="Q258" s="8"/>
      <c r="R258" s="9" t="s">
        <v>55</v>
      </c>
      <c r="S258" s="8" t="s">
        <v>32</v>
      </c>
      <c r="T258" s="9" t="s">
        <v>33</v>
      </c>
      <c r="U258" s="8" t="s">
        <v>34</v>
      </c>
      <c r="V258" s="8" t="s">
        <v>606</v>
      </c>
    </row>
    <row r="259" spans="1:22" ht="15" customHeight="1">
      <c r="A259" s="8" t="s">
        <v>829</v>
      </c>
      <c r="B259" s="9" t="s">
        <v>73</v>
      </c>
      <c r="C259" s="9" t="s">
        <v>23</v>
      </c>
      <c r="D259" s="9" t="s">
        <v>830</v>
      </c>
      <c r="E259" s="9"/>
      <c r="F259" s="9"/>
      <c r="G259" s="8" t="s">
        <v>203</v>
      </c>
      <c r="H259" s="8">
        <v>5</v>
      </c>
      <c r="I259" s="8">
        <v>5</v>
      </c>
      <c r="J259" s="8" t="s">
        <v>563</v>
      </c>
      <c r="K259" s="8" t="s">
        <v>788</v>
      </c>
      <c r="L259" s="8">
        <v>14</v>
      </c>
      <c r="M259" s="8">
        <v>2025</v>
      </c>
      <c r="N259" s="8"/>
      <c r="O259" s="9" t="s">
        <v>830</v>
      </c>
      <c r="P259" s="8"/>
      <c r="Q259" s="8"/>
      <c r="R259" s="9" t="s">
        <v>55</v>
      </c>
      <c r="S259" s="8" t="s">
        <v>32</v>
      </c>
      <c r="T259" s="9" t="s">
        <v>33</v>
      </c>
      <c r="U259" s="8" t="s">
        <v>34</v>
      </c>
      <c r="V259" s="8" t="s">
        <v>604</v>
      </c>
    </row>
    <row r="260" spans="1:22" ht="15" customHeight="1">
      <c r="A260" s="8" t="s">
        <v>831</v>
      </c>
      <c r="B260" s="9" t="s">
        <v>73</v>
      </c>
      <c r="C260" s="9" t="s">
        <v>23</v>
      </c>
      <c r="D260" s="9" t="s">
        <v>832</v>
      </c>
      <c r="E260" s="9"/>
      <c r="F260" s="9" t="s">
        <v>833</v>
      </c>
      <c r="G260" s="8" t="s">
        <v>203</v>
      </c>
      <c r="H260" s="8">
        <v>8</v>
      </c>
      <c r="I260" s="8">
        <v>8</v>
      </c>
      <c r="J260" s="8" t="s">
        <v>563</v>
      </c>
      <c r="K260" s="8" t="s">
        <v>788</v>
      </c>
      <c r="L260" s="8">
        <v>14</v>
      </c>
      <c r="M260" s="8">
        <v>2025</v>
      </c>
      <c r="N260" s="8"/>
      <c r="O260" s="9" t="s">
        <v>834</v>
      </c>
      <c r="P260" s="8"/>
      <c r="Q260" s="8"/>
      <c r="R260" s="9" t="s">
        <v>55</v>
      </c>
      <c r="S260" s="8" t="s">
        <v>32</v>
      </c>
      <c r="T260" s="9" t="s">
        <v>33</v>
      </c>
      <c r="U260" s="8" t="s">
        <v>34</v>
      </c>
      <c r="V260" s="8" t="s">
        <v>604</v>
      </c>
    </row>
    <row r="261" spans="1:22" ht="15" customHeight="1">
      <c r="A261" s="8" t="s">
        <v>835</v>
      </c>
      <c r="B261" s="9" t="s">
        <v>73</v>
      </c>
      <c r="C261" s="9" t="s">
        <v>23</v>
      </c>
      <c r="D261" s="9" t="s">
        <v>836</v>
      </c>
      <c r="E261" s="9"/>
      <c r="F261" s="9" t="s">
        <v>833</v>
      </c>
      <c r="G261" s="8" t="s">
        <v>203</v>
      </c>
      <c r="H261" s="8">
        <v>5</v>
      </c>
      <c r="I261" s="8">
        <v>5</v>
      </c>
      <c r="J261" s="8" t="s">
        <v>563</v>
      </c>
      <c r="K261" s="8" t="s">
        <v>788</v>
      </c>
      <c r="L261" s="8">
        <v>14</v>
      </c>
      <c r="M261" s="8">
        <v>2025</v>
      </c>
      <c r="N261" s="8"/>
      <c r="O261" s="9" t="s">
        <v>837</v>
      </c>
      <c r="P261" s="8"/>
      <c r="Q261" s="8"/>
      <c r="R261" s="9" t="s">
        <v>55</v>
      </c>
      <c r="S261" s="8" t="s">
        <v>32</v>
      </c>
      <c r="T261" s="9" t="s">
        <v>33</v>
      </c>
      <c r="U261" s="8" t="s">
        <v>34</v>
      </c>
      <c r="V261" s="8" t="s">
        <v>604</v>
      </c>
    </row>
    <row r="262" spans="1:22" ht="15" customHeight="1">
      <c r="A262" s="8" t="s">
        <v>838</v>
      </c>
      <c r="B262" s="9" t="s">
        <v>73</v>
      </c>
      <c r="C262" s="9" t="s">
        <v>23</v>
      </c>
      <c r="D262" s="9" t="s">
        <v>839</v>
      </c>
      <c r="E262" s="9"/>
      <c r="F262" s="9" t="s">
        <v>833</v>
      </c>
      <c r="G262" s="8" t="s">
        <v>203</v>
      </c>
      <c r="H262" s="8">
        <v>2</v>
      </c>
      <c r="I262" s="8">
        <v>2</v>
      </c>
      <c r="J262" s="8" t="s">
        <v>563</v>
      </c>
      <c r="K262" s="8" t="s">
        <v>788</v>
      </c>
      <c r="L262" s="8">
        <v>14</v>
      </c>
      <c r="M262" s="8">
        <v>2025</v>
      </c>
      <c r="N262" s="8"/>
      <c r="O262" s="8" t="s">
        <v>840</v>
      </c>
      <c r="P262" s="8"/>
      <c r="Q262" s="8"/>
      <c r="R262" s="9" t="s">
        <v>55</v>
      </c>
      <c r="S262" s="8" t="s">
        <v>32</v>
      </c>
      <c r="T262" s="9" t="s">
        <v>33</v>
      </c>
      <c r="U262" s="8" t="s">
        <v>34</v>
      </c>
      <c r="V262" s="8" t="s">
        <v>604</v>
      </c>
    </row>
    <row r="263" spans="1:22" ht="15" customHeight="1">
      <c r="A263" s="8" t="s">
        <v>841</v>
      </c>
      <c r="B263" s="9" t="s">
        <v>73</v>
      </c>
      <c r="C263" s="9" t="s">
        <v>23</v>
      </c>
      <c r="D263" s="9" t="s">
        <v>842</v>
      </c>
      <c r="E263" s="9"/>
      <c r="F263" s="9" t="s">
        <v>843</v>
      </c>
      <c r="G263" s="8" t="s">
        <v>203</v>
      </c>
      <c r="H263" s="8">
        <v>3</v>
      </c>
      <c r="I263" s="8">
        <v>3</v>
      </c>
      <c r="J263" s="8" t="s">
        <v>563</v>
      </c>
      <c r="K263" s="8" t="s">
        <v>788</v>
      </c>
      <c r="L263" s="8">
        <v>14</v>
      </c>
      <c r="M263" s="8">
        <v>2025</v>
      </c>
      <c r="N263" s="8"/>
      <c r="O263" s="9" t="s">
        <v>844</v>
      </c>
      <c r="P263" s="8"/>
      <c r="Q263" s="8"/>
      <c r="R263" s="9" t="s">
        <v>55</v>
      </c>
      <c r="S263" s="8" t="s">
        <v>32</v>
      </c>
      <c r="T263" s="9" t="s">
        <v>33</v>
      </c>
      <c r="U263" s="8" t="s">
        <v>34</v>
      </c>
      <c r="V263" s="8" t="s">
        <v>604</v>
      </c>
    </row>
    <row r="264" spans="1:22">
      <c r="A264" s="8" t="s">
        <v>944</v>
      </c>
      <c r="B264" s="9" t="s">
        <v>73</v>
      </c>
      <c r="C264" s="9" t="s">
        <v>23</v>
      </c>
      <c r="D264" s="9" t="s">
        <v>940</v>
      </c>
      <c r="E264" s="9"/>
      <c r="F264" s="28" t="s">
        <v>941</v>
      </c>
      <c r="G264" s="9" t="s">
        <v>198</v>
      </c>
      <c r="H264" s="8">
        <v>10</v>
      </c>
      <c r="I264" s="8">
        <v>10</v>
      </c>
      <c r="J264" s="3" t="s">
        <v>27</v>
      </c>
      <c r="K264" s="29" t="s">
        <v>945</v>
      </c>
      <c r="L264" s="29">
        <v>109</v>
      </c>
      <c r="M264" s="29">
        <v>2026</v>
      </c>
      <c r="N264" s="29"/>
      <c r="O264" s="29" t="s">
        <v>946</v>
      </c>
      <c r="P264" s="29"/>
      <c r="Q264" s="29"/>
      <c r="R264" s="9" t="s">
        <v>55</v>
      </c>
      <c r="S264" s="8" t="s">
        <v>32</v>
      </c>
      <c r="T264" s="9" t="s">
        <v>33</v>
      </c>
      <c r="U264" s="30">
        <v>46266</v>
      </c>
      <c r="V264" s="4" t="s">
        <v>947</v>
      </c>
    </row>
    <row r="265" spans="1:22">
      <c r="A265" s="8" t="s">
        <v>943</v>
      </c>
      <c r="B265" s="9" t="s">
        <v>73</v>
      </c>
      <c r="C265" s="9" t="s">
        <v>23</v>
      </c>
      <c r="D265" s="9" t="s">
        <v>940</v>
      </c>
      <c r="E265" s="9"/>
      <c r="F265" s="28" t="s">
        <v>942</v>
      </c>
      <c r="G265" s="9" t="s">
        <v>198</v>
      </c>
      <c r="H265" s="8">
        <v>15</v>
      </c>
      <c r="I265" s="8">
        <v>15</v>
      </c>
      <c r="J265" s="3" t="s">
        <v>27</v>
      </c>
      <c r="K265" s="29" t="s">
        <v>945</v>
      </c>
      <c r="L265" s="29">
        <v>109</v>
      </c>
      <c r="M265" s="29">
        <v>2026</v>
      </c>
      <c r="N265" s="29"/>
      <c r="O265" s="29" t="s">
        <v>946</v>
      </c>
      <c r="P265" s="29"/>
      <c r="Q265" s="29"/>
      <c r="R265" s="9" t="s">
        <v>55</v>
      </c>
      <c r="S265" s="8" t="s">
        <v>32</v>
      </c>
      <c r="T265" s="9" t="s">
        <v>33</v>
      </c>
      <c r="U265" s="30">
        <v>46266</v>
      </c>
      <c r="V265" s="4" t="s">
        <v>947</v>
      </c>
    </row>
    <row r="266" spans="1:22">
      <c r="A266" s="8" t="s">
        <v>948</v>
      </c>
      <c r="B266" s="9" t="s">
        <v>73</v>
      </c>
      <c r="C266" s="9" t="s">
        <v>23</v>
      </c>
      <c r="D266" s="9" t="s">
        <v>949</v>
      </c>
      <c r="E266" s="9"/>
      <c r="F266" s="28" t="s">
        <v>950</v>
      </c>
      <c r="G266" s="4" t="s">
        <v>26</v>
      </c>
      <c r="H266" s="3">
        <v>4</v>
      </c>
      <c r="I266" s="3">
        <v>4</v>
      </c>
      <c r="J266" s="3" t="s">
        <v>27</v>
      </c>
      <c r="K266" s="3" t="s">
        <v>77</v>
      </c>
      <c r="L266" s="6">
        <v>76</v>
      </c>
      <c r="M266" s="6">
        <v>2026</v>
      </c>
      <c r="N266" s="6"/>
      <c r="O266" s="31" t="s">
        <v>951</v>
      </c>
      <c r="P266" s="5"/>
      <c r="Q266" s="3"/>
      <c r="R266" s="4" t="s">
        <v>31</v>
      </c>
      <c r="S266" s="3" t="s">
        <v>32</v>
      </c>
      <c r="T266" s="4" t="s">
        <v>33</v>
      </c>
      <c r="U266" s="3" t="s">
        <v>34</v>
      </c>
      <c r="V266" s="4" t="s">
        <v>35</v>
      </c>
    </row>
    <row r="267" spans="1:22">
      <c r="A267" s="8" t="s">
        <v>952</v>
      </c>
      <c r="B267" s="9" t="s">
        <v>73</v>
      </c>
      <c r="C267" s="9" t="s">
        <v>23</v>
      </c>
      <c r="D267" s="9" t="s">
        <v>953</v>
      </c>
      <c r="E267" s="9"/>
      <c r="F267" s="28" t="s">
        <v>957</v>
      </c>
      <c r="G267" s="4" t="s">
        <v>954</v>
      </c>
      <c r="H267" s="3">
        <v>4</v>
      </c>
      <c r="I267" s="3">
        <v>4</v>
      </c>
      <c r="J267" s="3" t="s">
        <v>27</v>
      </c>
      <c r="K267" s="3" t="s">
        <v>955</v>
      </c>
      <c r="L267" s="6">
        <v>114</v>
      </c>
      <c r="M267" s="6">
        <v>2026</v>
      </c>
      <c r="N267" s="6"/>
      <c r="O267" s="31" t="s">
        <v>956</v>
      </c>
      <c r="P267" s="5"/>
      <c r="Q267" s="3"/>
      <c r="R267" s="4" t="s">
        <v>31</v>
      </c>
      <c r="S267" s="3" t="s">
        <v>32</v>
      </c>
      <c r="T267" s="4" t="s">
        <v>33</v>
      </c>
      <c r="U267" s="3" t="s">
        <v>34</v>
      </c>
      <c r="V267" s="4" t="s">
        <v>958</v>
      </c>
    </row>
    <row r="268" spans="1:22">
      <c r="A268" s="8" t="s">
        <v>964</v>
      </c>
      <c r="B268" s="9" t="s">
        <v>73</v>
      </c>
      <c r="C268" s="9" t="s">
        <v>23</v>
      </c>
      <c r="D268" s="9" t="s">
        <v>961</v>
      </c>
      <c r="E268" s="9"/>
      <c r="F268" s="28" t="s">
        <v>962</v>
      </c>
      <c r="G268" s="4" t="s">
        <v>963</v>
      </c>
      <c r="H268" s="3">
        <v>4</v>
      </c>
      <c r="I268" s="3">
        <v>4</v>
      </c>
      <c r="J268" s="3" t="s">
        <v>27</v>
      </c>
      <c r="K268" s="3" t="s">
        <v>955</v>
      </c>
      <c r="L268" s="6">
        <v>114</v>
      </c>
      <c r="M268" s="6">
        <v>2026</v>
      </c>
      <c r="N268" s="6"/>
      <c r="O268" s="31" t="s">
        <v>956</v>
      </c>
      <c r="P268" s="5"/>
      <c r="Q268" s="3"/>
      <c r="R268" s="4" t="s">
        <v>31</v>
      </c>
      <c r="S268" s="3" t="s">
        <v>32</v>
      </c>
      <c r="T268" s="4" t="s">
        <v>33</v>
      </c>
      <c r="U268" s="3" t="s">
        <v>34</v>
      </c>
      <c r="V268" s="4" t="s">
        <v>958</v>
      </c>
    </row>
  </sheetData>
  <autoFilter ref="A1:V263" xr:uid="{00000000-0009-0000-0000-000000000000}"/>
  <phoneticPr fontId="12" type="noConversion"/>
  <dataValidations count="4">
    <dataValidation type="list" sqref="T2:T1093" xr:uid="{00000000-0002-0000-0000-000000000000}">
      <formula1>"검증완료,초안,폐지"</formula1>
      <formula2>0</formula2>
    </dataValidation>
    <dataValidation type="list" sqref="R2:R1093" xr:uid="{00000000-0002-0000-0000-000001000000}">
      <formula1>"주요,기타"</formula1>
      <formula2>0</formula2>
    </dataValidation>
    <dataValidation type="list" sqref="S2:S1093" xr:uid="{00000000-0002-0000-0000-000002000000}">
      <formula1>"Y,N"</formula1>
      <formula2>0</formula2>
    </dataValidation>
    <dataValidation type="list" sqref="J2:J1093" xr:uid="{00000000-0002-0000-0000-000003000000}">
      <formula1>"KCS-STD,NHR-PRC,LH-CIV,ELE-STD,ICT-STD,ETC-KDS"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zoomScaleNormal="100" workbookViewId="0"/>
  </sheetViews>
  <sheetFormatPr defaultColWidth="8.7109375" defaultRowHeight="15"/>
  <cols>
    <col min="1" max="1" width="11" customWidth="1"/>
    <col min="2" max="2" width="26" customWidth="1"/>
    <col min="3" max="3" width="28" customWidth="1"/>
    <col min="4" max="4" width="13" customWidth="1"/>
    <col min="5" max="5" width="18" customWidth="1"/>
    <col min="6" max="6" width="30" customWidth="1"/>
    <col min="7" max="7" width="46" customWidth="1"/>
    <col min="8" max="8" width="30" customWidth="1"/>
    <col min="9" max="9" width="14" customWidth="1"/>
    <col min="10" max="10" width="12" customWidth="1"/>
    <col min="11" max="11" width="11" customWidth="1"/>
  </cols>
  <sheetData>
    <row r="1" spans="1:11" ht="15" customHeight="1">
      <c r="A1" s="2" t="s">
        <v>8</v>
      </c>
      <c r="B1" s="2" t="s">
        <v>845</v>
      </c>
      <c r="C1" s="2" t="s">
        <v>846</v>
      </c>
      <c r="D1" s="2" t="s">
        <v>847</v>
      </c>
      <c r="E1" s="2" t="s">
        <v>848</v>
      </c>
      <c r="F1" s="2" t="s">
        <v>849</v>
      </c>
      <c r="G1" s="2" t="s">
        <v>850</v>
      </c>
      <c r="H1" s="2" t="s">
        <v>851</v>
      </c>
      <c r="I1" s="2" t="s">
        <v>852</v>
      </c>
      <c r="J1" s="2" t="s">
        <v>853</v>
      </c>
      <c r="K1" s="2" t="s">
        <v>18</v>
      </c>
    </row>
    <row r="2" spans="1:11" ht="34.5" customHeight="1">
      <c r="A2" s="7" t="s">
        <v>27</v>
      </c>
      <c r="B2" s="5" t="s">
        <v>854</v>
      </c>
      <c r="C2" s="5" t="s">
        <v>855</v>
      </c>
      <c r="D2" s="5" t="s">
        <v>22</v>
      </c>
      <c r="E2" s="5" t="s">
        <v>856</v>
      </c>
      <c r="F2" s="7" t="s">
        <v>857</v>
      </c>
      <c r="G2" s="7" t="s">
        <v>858</v>
      </c>
      <c r="H2" s="7"/>
      <c r="I2" s="7" t="s">
        <v>859</v>
      </c>
      <c r="J2" s="7" t="s">
        <v>34</v>
      </c>
      <c r="K2" s="5" t="s">
        <v>860</v>
      </c>
    </row>
    <row r="3" spans="1:11" ht="15" customHeight="1">
      <c r="A3" s="7" t="s">
        <v>264</v>
      </c>
      <c r="B3" s="5" t="s">
        <v>861</v>
      </c>
      <c r="C3" s="5" t="s">
        <v>862</v>
      </c>
      <c r="D3" s="5" t="s">
        <v>73</v>
      </c>
      <c r="E3" s="5" t="s">
        <v>863</v>
      </c>
      <c r="F3" s="5" t="s">
        <v>864</v>
      </c>
      <c r="G3" s="7" t="s">
        <v>865</v>
      </c>
      <c r="H3" s="7"/>
      <c r="I3" s="7" t="s">
        <v>866</v>
      </c>
      <c r="J3" s="7" t="s">
        <v>34</v>
      </c>
      <c r="K3" s="5" t="s">
        <v>860</v>
      </c>
    </row>
    <row r="4" spans="1:11" ht="15" customHeight="1">
      <c r="A4" s="11" t="s">
        <v>867</v>
      </c>
      <c r="B4" s="12" t="s">
        <v>868</v>
      </c>
      <c r="C4" s="12" t="s">
        <v>869</v>
      </c>
      <c r="D4" s="12" t="s">
        <v>870</v>
      </c>
      <c r="E4" s="12" t="s">
        <v>871</v>
      </c>
      <c r="F4" s="12" t="s">
        <v>872</v>
      </c>
      <c r="G4" s="11" t="s">
        <v>873</v>
      </c>
      <c r="H4" s="11"/>
      <c r="I4" s="11"/>
      <c r="J4" s="11"/>
      <c r="K4" s="12" t="s">
        <v>874</v>
      </c>
    </row>
    <row r="5" spans="1:11" ht="15" customHeight="1">
      <c r="A5" s="11" t="s">
        <v>875</v>
      </c>
      <c r="B5" s="12" t="s">
        <v>876</v>
      </c>
      <c r="C5" s="12" t="s">
        <v>877</v>
      </c>
      <c r="D5" s="12" t="s">
        <v>878</v>
      </c>
      <c r="E5" s="12" t="s">
        <v>871</v>
      </c>
      <c r="F5" s="12" t="s">
        <v>879</v>
      </c>
      <c r="G5" s="11" t="s">
        <v>880</v>
      </c>
      <c r="H5" s="11"/>
      <c r="I5" s="11"/>
      <c r="J5" s="11"/>
      <c r="K5" s="12" t="s">
        <v>874</v>
      </c>
    </row>
    <row r="6" spans="1:11" ht="15" customHeight="1">
      <c r="A6" s="11" t="s">
        <v>881</v>
      </c>
      <c r="B6" s="11" t="s">
        <v>882</v>
      </c>
      <c r="C6" s="12" t="s">
        <v>883</v>
      </c>
      <c r="D6" s="12" t="s">
        <v>55</v>
      </c>
      <c r="E6" s="12" t="s">
        <v>884</v>
      </c>
      <c r="F6" s="12" t="s">
        <v>883</v>
      </c>
      <c r="G6" s="11" t="s">
        <v>885</v>
      </c>
      <c r="H6" s="11"/>
      <c r="I6" s="11"/>
      <c r="J6" s="11"/>
      <c r="K6" s="12" t="s">
        <v>874</v>
      </c>
    </row>
    <row r="7" spans="1:11" ht="38.25" customHeight="1">
      <c r="A7" s="7" t="s">
        <v>563</v>
      </c>
      <c r="B7" s="5" t="s">
        <v>886</v>
      </c>
      <c r="C7" s="5" t="s">
        <v>887</v>
      </c>
      <c r="D7" s="5" t="s">
        <v>73</v>
      </c>
      <c r="E7" s="5" t="s">
        <v>888</v>
      </c>
      <c r="F7" s="5" t="s">
        <v>889</v>
      </c>
      <c r="G7" s="7" t="s">
        <v>890</v>
      </c>
      <c r="H7" s="7"/>
      <c r="I7" s="5" t="s">
        <v>891</v>
      </c>
      <c r="J7" s="7" t="s">
        <v>34</v>
      </c>
      <c r="K7" s="5" t="s">
        <v>860</v>
      </c>
    </row>
  </sheetData>
  <phoneticPr fontId="12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zoomScaleNormal="100" workbookViewId="0"/>
  </sheetViews>
  <sheetFormatPr defaultColWidth="8.7109375" defaultRowHeight="15"/>
  <cols>
    <col min="1" max="1" width="11" customWidth="1"/>
    <col min="2" max="2" width="10" customWidth="1"/>
    <col min="3" max="3" width="30" customWidth="1"/>
    <col min="4" max="4" width="40" customWidth="1"/>
    <col min="5" max="5" width="8" customWidth="1"/>
    <col min="6" max="6" width="46" customWidth="1"/>
    <col min="7" max="7" width="10" customWidth="1"/>
  </cols>
  <sheetData>
    <row r="1" spans="1:7" ht="15" customHeight="1">
      <c r="A1" s="13" t="s">
        <v>8</v>
      </c>
      <c r="B1" s="13" t="s">
        <v>892</v>
      </c>
      <c r="C1" s="13" t="s">
        <v>893</v>
      </c>
      <c r="D1" s="13" t="s">
        <v>894</v>
      </c>
      <c r="E1" s="13" t="s">
        <v>895</v>
      </c>
      <c r="F1" s="13" t="s">
        <v>850</v>
      </c>
      <c r="G1" s="13" t="s">
        <v>18</v>
      </c>
    </row>
    <row r="2" spans="1:7" ht="35.1" customHeight="1">
      <c r="A2" s="14" t="s">
        <v>27</v>
      </c>
      <c r="B2" s="14">
        <v>2024</v>
      </c>
      <c r="C2" s="14" t="s">
        <v>896</v>
      </c>
      <c r="D2" s="14" t="s">
        <v>897</v>
      </c>
      <c r="E2" s="14">
        <v>937</v>
      </c>
      <c r="F2" s="14" t="s">
        <v>858</v>
      </c>
      <c r="G2" s="15" t="s">
        <v>898</v>
      </c>
    </row>
    <row r="3" spans="1:7" ht="35.1" customHeight="1">
      <c r="A3" s="14" t="s">
        <v>27</v>
      </c>
      <c r="B3" s="15">
        <v>2025</v>
      </c>
      <c r="C3" s="14" t="s">
        <v>899</v>
      </c>
      <c r="D3" s="14" t="s">
        <v>900</v>
      </c>
      <c r="E3" s="15">
        <v>947</v>
      </c>
      <c r="F3" s="14" t="s">
        <v>858</v>
      </c>
      <c r="G3" s="15" t="s">
        <v>898</v>
      </c>
    </row>
    <row r="4" spans="1:7" ht="35.1" customHeight="1">
      <c r="A4" s="16" t="s">
        <v>27</v>
      </c>
      <c r="B4" s="16">
        <v>2026</v>
      </c>
      <c r="C4" s="16" t="s">
        <v>901</v>
      </c>
      <c r="D4" s="16" t="s">
        <v>902</v>
      </c>
      <c r="E4" s="16">
        <v>982</v>
      </c>
      <c r="F4" s="16" t="s">
        <v>858</v>
      </c>
      <c r="G4" s="17" t="s">
        <v>903</v>
      </c>
    </row>
    <row r="5" spans="1:7" ht="15" customHeight="1">
      <c r="A5" s="16" t="s">
        <v>264</v>
      </c>
      <c r="B5" s="17">
        <v>2025</v>
      </c>
      <c r="C5" s="16" t="s">
        <v>904</v>
      </c>
      <c r="D5" s="16" t="s">
        <v>905</v>
      </c>
      <c r="E5" s="17">
        <v>1399</v>
      </c>
      <c r="F5" s="17" t="s">
        <v>865</v>
      </c>
      <c r="G5" s="17" t="s">
        <v>903</v>
      </c>
    </row>
    <row r="6" spans="1:7" ht="15" customHeight="1">
      <c r="A6" s="14" t="s">
        <v>563</v>
      </c>
      <c r="B6" s="15">
        <v>2025</v>
      </c>
      <c r="C6" s="15" t="s">
        <v>906</v>
      </c>
      <c r="D6" s="14" t="s">
        <v>907</v>
      </c>
      <c r="E6" s="15">
        <v>307</v>
      </c>
      <c r="F6" s="15" t="s">
        <v>890</v>
      </c>
      <c r="G6" s="15" t="s">
        <v>898</v>
      </c>
    </row>
    <row r="7" spans="1:7" ht="15" customHeight="1">
      <c r="A7" s="16" t="s">
        <v>563</v>
      </c>
      <c r="B7" s="17">
        <v>2026</v>
      </c>
      <c r="C7" s="16" t="s">
        <v>908</v>
      </c>
      <c r="D7" s="16" t="s">
        <v>909</v>
      </c>
      <c r="E7" s="17">
        <v>304</v>
      </c>
      <c r="F7" s="17" t="s">
        <v>890</v>
      </c>
      <c r="G7" s="17" t="s">
        <v>903</v>
      </c>
    </row>
  </sheetData>
  <phoneticPr fontId="12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zoomScaleNormal="100" workbookViewId="0"/>
  </sheetViews>
  <sheetFormatPr defaultColWidth="8.7109375" defaultRowHeight="15"/>
  <cols>
    <col min="1" max="1" width="28" customWidth="1"/>
    <col min="2" max="3" width="12" customWidth="1"/>
  </cols>
  <sheetData>
    <row r="1" spans="1:3" ht="18.75" customHeight="1">
      <c r="A1" s="18" t="s">
        <v>910</v>
      </c>
    </row>
    <row r="3" spans="1:3" ht="15" customHeight="1">
      <c r="A3" s="19" t="s">
        <v>911</v>
      </c>
    </row>
    <row r="4" spans="1:3" ht="15" customHeight="1">
      <c r="A4" s="19" t="s">
        <v>1</v>
      </c>
      <c r="B4" s="19" t="s">
        <v>33</v>
      </c>
      <c r="C4" s="19" t="s">
        <v>70</v>
      </c>
    </row>
    <row r="5" spans="1:3" ht="15" customHeight="1">
      <c r="A5" s="20" t="s">
        <v>73</v>
      </c>
      <c r="B5" s="20">
        <f>SUMPRODUCT(ISNUMBER(SEARCH("토목",DB!$B$2:$B$498))*(DB!$T$2:$T$498="검증완료"))</f>
        <v>267</v>
      </c>
      <c r="C5" s="20">
        <f>SUMPRODUCT(ISNUMBER(SEARCH("토목",DB!$B$2:$B$498))*(DB!$T$2:$T$498="초안"))</f>
        <v>0</v>
      </c>
    </row>
    <row r="6" spans="1:3" ht="15" customHeight="1">
      <c r="A6" s="20" t="s">
        <v>912</v>
      </c>
      <c r="B6" s="20">
        <f>SUMPRODUCT(ISNUMBER(SEARCH("건축",DB!$B$2:$B$498))*(DB!$T$2:$T$498="검증완료"))</f>
        <v>86</v>
      </c>
      <c r="C6" s="20">
        <f>SUMPRODUCT(ISNUMBER(SEARCH("건축",DB!$B$2:$B$498))*(DB!$T$2:$T$498="초안"))</f>
        <v>0</v>
      </c>
    </row>
    <row r="7" spans="1:3" ht="15" customHeight="1">
      <c r="A7" s="20" t="s">
        <v>870</v>
      </c>
      <c r="B7" s="20">
        <f>SUMPRODUCT(ISNUMBER(SEARCH("전기",DB!$B$2:$B$498))*(DB!$T$2:$T$498="검증완료"))</f>
        <v>0</v>
      </c>
      <c r="C7" s="20">
        <f>SUMPRODUCT(ISNUMBER(SEARCH("전기",DB!$B$2:$B$498))*(DB!$T$2:$T$498="초안"))</f>
        <v>0</v>
      </c>
    </row>
    <row r="8" spans="1:3" ht="15" customHeight="1">
      <c r="A8" s="20" t="s">
        <v>878</v>
      </c>
      <c r="B8" s="20">
        <f>SUMPRODUCT(ISNUMBER(SEARCH("정보통신",DB!$B$2:$B$498))*(DB!$T$2:$T$498="검증완료"))</f>
        <v>0</v>
      </c>
      <c r="C8" s="20">
        <f>SUMPRODUCT(ISNUMBER(SEARCH("정보통신",DB!$B$2:$B$498))*(DB!$T$2:$T$498="초안"))</f>
        <v>0</v>
      </c>
    </row>
    <row r="9" spans="1:3" ht="15" customHeight="1">
      <c r="A9" s="20" t="s">
        <v>55</v>
      </c>
      <c r="B9" s="20">
        <f>SUMPRODUCT(ISNUMBER(SEARCH("기타",DB!$B$2:$B$498))*(DB!$T$2:$T$498="검증완료"))</f>
        <v>0</v>
      </c>
      <c r="C9" s="20">
        <f>SUMPRODUCT(ISNUMBER(SEARCH("기타",DB!$B$2:$B$498))*(DB!$T$2:$T$498="초안"))</f>
        <v>0</v>
      </c>
    </row>
    <row r="11" spans="1:3" ht="15" customHeight="1">
      <c r="A11" s="19" t="s">
        <v>913</v>
      </c>
    </row>
    <row r="12" spans="1:3" ht="15" customHeight="1">
      <c r="A12" s="19" t="s">
        <v>2</v>
      </c>
      <c r="B12" s="19" t="s">
        <v>914</v>
      </c>
    </row>
    <row r="13" spans="1:3" ht="15" customHeight="1">
      <c r="A13" s="20" t="s">
        <v>47</v>
      </c>
      <c r="B13" s="20">
        <f>COUNTIF(DB!$C$2:$C$498,A13)</f>
        <v>35</v>
      </c>
    </row>
    <row r="14" spans="1:3" ht="15" customHeight="1">
      <c r="A14" s="20" t="s">
        <v>74</v>
      </c>
      <c r="B14" s="20">
        <f>COUNTIF(DB!$C$2:$C$498,A14)</f>
        <v>16</v>
      </c>
    </row>
    <row r="15" spans="1:3" ht="15" customHeight="1">
      <c r="A15" s="20" t="s">
        <v>87</v>
      </c>
      <c r="B15" s="20">
        <f>COUNTIF(DB!$C$2:$C$498,A15)</f>
        <v>3</v>
      </c>
    </row>
    <row r="16" spans="1:3" ht="15" customHeight="1">
      <c r="A16" s="20" t="s">
        <v>91</v>
      </c>
      <c r="B16" s="20">
        <f>COUNTIF(DB!$C$2:$C$498,A16)</f>
        <v>4</v>
      </c>
    </row>
    <row r="17" spans="1:2" ht="15" customHeight="1">
      <c r="A17" s="20" t="s">
        <v>104</v>
      </c>
      <c r="B17" s="20">
        <f>COUNTIF(DB!$C$2:$C$498,A17)</f>
        <v>18</v>
      </c>
    </row>
    <row r="18" spans="1:2" ht="15" customHeight="1">
      <c r="A18" s="20" t="s">
        <v>136</v>
      </c>
      <c r="B18" s="20">
        <f>COUNTIF(DB!$C$2:$C$498,A18)</f>
        <v>2</v>
      </c>
    </row>
    <row r="19" spans="1:2" ht="15" customHeight="1">
      <c r="A19" s="20" t="s">
        <v>142</v>
      </c>
      <c r="B19" s="20">
        <f>COUNTIF(DB!$C$2:$C$498,A19)</f>
        <v>43</v>
      </c>
    </row>
    <row r="20" spans="1:2" ht="15" customHeight="1">
      <c r="A20" s="20" t="s">
        <v>23</v>
      </c>
      <c r="B20" s="20">
        <f>COUNTIF(DB!$C$2:$C$498,A20)</f>
        <v>143</v>
      </c>
    </row>
    <row r="21" spans="1:2" ht="15" customHeight="1">
      <c r="A21" s="20" t="s">
        <v>337</v>
      </c>
      <c r="B21" s="20">
        <f>COUNTIF(DB!$C$2:$C$498,A21)</f>
        <v>3</v>
      </c>
    </row>
    <row r="22" spans="1:2" ht="15" customHeight="1"/>
    <row r="23" spans="1:2" ht="15" customHeight="1">
      <c r="A23" s="19" t="s">
        <v>915</v>
      </c>
      <c r="B23" s="20">
        <f>COUNTA(DB!$A$2:$A$498)</f>
        <v>267</v>
      </c>
    </row>
    <row r="24" spans="1:2" ht="15" customHeight="1"/>
    <row r="25" spans="1:2" ht="15" customHeight="1">
      <c r="A25" s="19" t="s">
        <v>916</v>
      </c>
      <c r="B25" s="20">
        <f>COUNTIF(DB!$Q$2:$Q$498,"?*")</f>
        <v>78</v>
      </c>
    </row>
    <row r="26" spans="1:2" ht="15" customHeight="1">
      <c r="A26" s="19" t="s">
        <v>917</v>
      </c>
      <c r="B26" s="20">
        <f>COUNT(DB!$N$2:$N$498)</f>
        <v>0</v>
      </c>
    </row>
    <row r="27" spans="1:2" ht="15" customHeight="1">
      <c r="A27" s="19" t="s">
        <v>918</v>
      </c>
      <c r="B27" s="20">
        <f>COUNT(DB!$L$2:$L$498)</f>
        <v>266</v>
      </c>
    </row>
  </sheetData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6"/>
  <sheetViews>
    <sheetView zoomScaleNormal="100" workbookViewId="0"/>
  </sheetViews>
  <sheetFormatPr defaultColWidth="8.7109375" defaultRowHeight="15"/>
  <cols>
    <col min="1" max="1" width="40" customWidth="1"/>
    <col min="2" max="2" width="96" customWidth="1"/>
  </cols>
  <sheetData>
    <row r="1" spans="1:21" ht="15.75" customHeight="1">
      <c r="A1" s="21" t="s">
        <v>919</v>
      </c>
    </row>
    <row r="2" spans="1:21" ht="1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</row>
    <row r="3" spans="1:21" ht="15" customHeight="1">
      <c r="A3" s="23" t="s">
        <v>920</v>
      </c>
      <c r="B3" s="22" t="s">
        <v>921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</row>
    <row r="4" spans="1:21" ht="15" customHeight="1">
      <c r="A4" s="23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</row>
    <row r="5" spans="1:21" ht="26.25" customHeight="1">
      <c r="A5" s="23" t="s">
        <v>922</v>
      </c>
      <c r="B5" s="22" t="s">
        <v>923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</row>
    <row r="6" spans="1:21" ht="15" customHeight="1">
      <c r="A6" s="23" t="s">
        <v>924</v>
      </c>
      <c r="B6" s="24" t="s">
        <v>925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</row>
    <row r="7" spans="1:21" ht="15" customHeight="1">
      <c r="A7" s="23" t="s">
        <v>926</v>
      </c>
      <c r="B7" s="24" t="s">
        <v>927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</row>
    <row r="8" spans="1:21" ht="15" customHeight="1">
      <c r="A8" s="23" t="s">
        <v>928</v>
      </c>
      <c r="B8" s="24" t="s">
        <v>929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</row>
    <row r="9" spans="1:21" ht="15" customHeight="1">
      <c r="A9" s="23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</row>
    <row r="10" spans="1:21" ht="29.25" customHeight="1">
      <c r="A10" s="23" t="s">
        <v>930</v>
      </c>
      <c r="B10" s="24" t="s">
        <v>931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1:21" ht="29.25" customHeight="1">
      <c r="A11" s="23" t="s">
        <v>932</v>
      </c>
      <c r="B11" s="22" t="s">
        <v>933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1:21" ht="15" customHeight="1">
      <c r="A12" s="24" t="s">
        <v>934</v>
      </c>
      <c r="B12" s="24" t="s">
        <v>935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</row>
    <row r="13" spans="1:21" ht="15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</row>
    <row r="14" spans="1:21" ht="15" customHeight="1">
      <c r="A14" s="25" t="s">
        <v>936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</row>
    <row r="15" spans="1:21" ht="29.25" customHeight="1">
      <c r="A15" s="26" t="s">
        <v>0</v>
      </c>
      <c r="B15" s="27" t="s">
        <v>1</v>
      </c>
      <c r="C15" s="27" t="s">
        <v>2</v>
      </c>
      <c r="D15" s="27" t="s">
        <v>3</v>
      </c>
      <c r="E15" s="27" t="s">
        <v>4</v>
      </c>
      <c r="F15" s="27" t="s">
        <v>5</v>
      </c>
      <c r="G15" s="27" t="s">
        <v>6</v>
      </c>
      <c r="H15" s="27" t="s">
        <v>7</v>
      </c>
      <c r="I15" s="27" t="s">
        <v>8</v>
      </c>
      <c r="J15" s="27" t="s">
        <v>9</v>
      </c>
      <c r="K15" s="27" t="s">
        <v>10</v>
      </c>
      <c r="L15" s="27" t="s">
        <v>11</v>
      </c>
      <c r="M15" s="27" t="s">
        <v>12</v>
      </c>
      <c r="N15" s="27" t="s">
        <v>13</v>
      </c>
      <c r="O15" s="27" t="s">
        <v>14</v>
      </c>
      <c r="P15" s="27" t="s">
        <v>15</v>
      </c>
      <c r="Q15" s="27" t="s">
        <v>16</v>
      </c>
      <c r="R15" s="27" t="s">
        <v>17</v>
      </c>
      <c r="S15" s="27" t="s">
        <v>18</v>
      </c>
      <c r="T15" s="27" t="s">
        <v>19</v>
      </c>
      <c r="U15" s="27" t="s">
        <v>20</v>
      </c>
    </row>
    <row r="16" spans="1:21" ht="86.25" customHeight="1">
      <c r="A16" s="22" t="s">
        <v>937</v>
      </c>
      <c r="B16" s="24" t="s">
        <v>22</v>
      </c>
      <c r="C16" s="24" t="s">
        <v>142</v>
      </c>
      <c r="D16" s="24" t="s">
        <v>148</v>
      </c>
      <c r="E16" s="24" t="s">
        <v>144</v>
      </c>
      <c r="F16" s="22" t="s">
        <v>44</v>
      </c>
      <c r="G16" s="22">
        <v>3</v>
      </c>
      <c r="H16" s="22">
        <v>3</v>
      </c>
      <c r="I16" s="22" t="s">
        <v>27</v>
      </c>
      <c r="J16" s="22" t="s">
        <v>145</v>
      </c>
      <c r="K16" s="22">
        <v>61</v>
      </c>
      <c r="L16" s="22">
        <v>2026</v>
      </c>
      <c r="M16" s="22"/>
      <c r="N16" s="24" t="s">
        <v>146</v>
      </c>
      <c r="O16" s="22"/>
      <c r="P16" s="24" t="s">
        <v>938</v>
      </c>
      <c r="Q16" s="24" t="s">
        <v>31</v>
      </c>
      <c r="R16" s="22" t="s">
        <v>32</v>
      </c>
      <c r="S16" s="24" t="s">
        <v>33</v>
      </c>
      <c r="T16" s="22" t="s">
        <v>34</v>
      </c>
      <c r="U16" s="24" t="s">
        <v>939</v>
      </c>
    </row>
  </sheetData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DB</vt:lpstr>
      <vt:lpstr>출처</vt:lpstr>
      <vt:lpstr>원문파일</vt:lpstr>
      <vt:lpstr>현황</vt:lpstr>
      <vt:lpstr>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JUNG JE WON</cp:lastModifiedBy>
  <cp:revision>0</cp:revision>
  <dcterms:created xsi:type="dcterms:W3CDTF">2026-08-27T07:43:51Z</dcterms:created>
  <dcterms:modified xsi:type="dcterms:W3CDTF">2026-09-01T09:05:26Z</dcterms:modified>
  <dc:language>en-US</dc:language>
</cp:coreProperties>
</file>